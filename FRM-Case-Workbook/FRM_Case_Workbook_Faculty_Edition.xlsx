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9.xml.rels" ContentType="application/vnd.openxmlformats-package.relationships+xml"/>
  <Override PartName="/xl/worksheets/_rels/sheet4.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3.xml.rels" ContentType="application/vnd.openxmlformats-package.relationships+xml"/>
  <Override PartName="/xl/worksheets/_rels/sheet17.xml.rels" ContentType="application/vnd.openxmlformats-package.relationships+xml"/>
  <Override PartName="/xl/worksheets/_rels/sheet2.xml.rels" ContentType="application/vnd.openxmlformats-package.relationships+xml"/>
  <Override PartName="/xl/worksheets/_rels/sheet16.xml.rels" ContentType="application/vnd.openxmlformats-package.relationships+xml"/>
  <Override PartName="/xl/worksheets/_rels/sheet1.xml.rels" ContentType="application/vnd.openxmlformats-package.relationships+xml"/>
  <Override PartName="/xl/worksheets/_rels/sheet32.xml.rels" ContentType="application/vnd.openxmlformats-package.relationships+xml"/>
  <Override PartName="/xl/worksheets/_rels/sheet31.xml.rels" ContentType="application/vnd.openxmlformats-package.relationships+xml"/>
  <Override PartName="/xl/worksheets/_rels/sheet29.xml.rels" ContentType="application/vnd.openxmlformats-package.relationships+xml"/>
  <Override PartName="/xl/worksheets/_rels/sheet33.xml.rels" ContentType="application/vnd.openxmlformats-package.relationships+xml"/>
  <Override PartName="/xl/worksheets/_rels/sheet21.xml.rels" ContentType="application/vnd.openxmlformats-package.relationships+xml"/>
  <Override PartName="/xl/worksheets/_rels/sheet10.xml.rels" ContentType="application/vnd.openxmlformats-package.relationships+xml"/>
  <Override PartName="/xl/worksheets/_rels/sheet22.xml.rels" ContentType="application/vnd.openxmlformats-package.relationships+xml"/>
  <Override PartName="/xl/worksheets/_rels/sheet23.xml.rels" ContentType="application/vnd.openxmlformats-package.relationships+xml"/>
  <Override PartName="/xl/worksheets/_rels/sheet24.xml.rels" ContentType="application/vnd.openxmlformats-package.relationships+xml"/>
  <Override PartName="/xl/worksheets/_rels/sheet25.xml.rels" ContentType="application/vnd.openxmlformats-package.relationships+xml"/>
  <Override PartName="/xl/worksheets/_rels/sheet26.xml.rels" ContentType="application/vnd.openxmlformats-package.relationships+xml"/>
  <Override PartName="/xl/worksheets/_rels/sheet27.xml.rels" ContentType="application/vnd.openxmlformats-package.relationships+xml"/>
  <Override PartName="/xl/worksheets/_rels/sheet28.xml.rels" ContentType="application/vnd.openxmlformats-package.relationships+xml"/>
  <Override PartName="/xl/worksheets/_rels/sheet30.xml.rels" ContentType="application/vnd.openxmlformats-package.relationships+xml"/>
  <Override PartName="/xl/worksheets/_rels/sheet34.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_rels/sheet35.xml.rels" ContentType="application/vnd.openxmlformats-package.relationships+xml"/>
  <Override PartName="/xl/worksheets/_rels/sheet6.xml.rels" ContentType="application/vnd.openxmlformats-package.relationships+xml"/>
  <Override PartName="/xl/worksheets/_rels/sheet36.xml.rels" ContentType="application/vnd.openxmlformats-package.relationships+xml"/>
  <Override PartName="/xl/worksheets/_rels/sheet7.xml.rels" ContentType="application/vnd.openxmlformats-package.relationships+xml"/>
  <Override PartName="/xl/worksheets/_rels/sheet37.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_rels/sheet39.xml.rels" ContentType="application/vnd.openxmlformats-package.relationships+xml"/>
  <Override PartName="/xl/worksheets/_rels/sheet14.xml.rels" ContentType="application/vnd.openxmlformats-package.relationships+xml"/>
  <Override PartName="/xl/worksheets/_rels/sheet13.xml.rels" ContentType="application/vnd.openxmlformats-package.relationships+xml"/>
  <Override PartName="/xl/worksheets/_rels/sheet12.xml.rels" ContentType="application/vnd.openxmlformats-package.relationships+xml"/>
  <Override PartName="/xl/worksheets/_rels/sheet15.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9.xml.rels" ContentType="application/vnd.openxmlformats-package.relationships+xml"/>
  <Override PartName="/xl/drawings/_rels/drawing8.xml.rels" ContentType="application/vnd.openxmlformats-package.relationships+xml"/>
  <Override PartName="/xl/drawings/_rels/drawing11.xml.rels" ContentType="application/vnd.openxmlformats-package.relationships+xml"/>
  <Override PartName="/xl/drawings/_rels/drawing6.xml.rels" ContentType="application/vnd.openxmlformats-package.relationships+xml"/>
  <Override PartName="/xl/drawings/_rels/drawing7.xml.rels" ContentType="application/vnd.openxmlformats-package.relationships+xml"/>
  <Override PartName="/xl/drawings/_rels/drawing10.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xl/media/image4.png" ContentType="image/png"/>
  <Override PartName="/xl/media/image5.png" ContentType="image/png"/>
  <Override PartName="/xl/media/image6.png" ContentType="image/png"/>
  <Override PartName="/xl/media/image7.png" ContentType="image/pn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dex" sheetId="1" state="visible" r:id="rId3"/>
    <sheet name="M1 VaR Concept" sheetId="2" state="visible" r:id="rId4"/>
    <sheet name="1.1 Parametric VaR" sheetId="3" state="visible" r:id="rId5"/>
    <sheet name="1.2 Portfolio VaR" sheetId="4" state="visible" r:id="rId6"/>
    <sheet name="1.3 Historical VaR &amp; ES" sheetId="5" state="visible" r:id="rId7"/>
    <sheet name="1.4 VaR Backtesting" sheetId="6" state="visible" r:id="rId8"/>
    <sheet name="1.5 Bond VaR" sheetId="7" state="visible" r:id="rId9"/>
    <sheet name="1.6 FX VaR" sheetId="8" state="visible" r:id="rId10"/>
    <sheet name="1.7 VaR vs ES" sheetId="9" state="visible" r:id="rId11"/>
    <sheet name="1.8 Basel Market Capital" sheetId="10" state="visible" r:id="rId12"/>
    <sheet name="M2 Sensitivity Concept" sheetId="11" state="visible" r:id="rId13"/>
    <sheet name="2.1 Bond Duration" sheetId="12" state="visible" r:id="rId14"/>
    <sheet name="2.2 Convexity" sheetId="13" state="visible" r:id="rId15"/>
    <sheet name="2.3 PV01 Hedging" sheetId="14" state="visible" r:id="rId16"/>
    <sheet name="2.4 Beta Hedging" sheetId="15" state="visible" r:id="rId17"/>
    <sheet name="2.5 Option Greeks" sheetId="16" state="visible" r:id="rId18"/>
    <sheet name="2.6 Delta-Gamma Hedge" sheetId="17" state="visible" r:id="rId19"/>
    <sheet name="2.7 Duration Gap" sheetId="18" state="visible" r:id="rId20"/>
    <sheet name="2.8 Effective Duration" sheetId="19" state="visible" r:id="rId21"/>
    <sheet name="M3 RAROC Concept" sheetId="20" state="visible" r:id="rId22"/>
    <sheet name="3.1 Loan RAROC" sheetId="21" state="visible" r:id="rId23"/>
    <sheet name="3.2 Risk-Based Pricing" sheetId="22" state="visible" r:id="rId24"/>
    <sheet name="3.3 Corporate vs SME" sheetId="23" state="visible" r:id="rId25"/>
    <sheet name="3.4 Economic Capital" sheetId="24" state="visible" r:id="rId26"/>
    <sheet name="3.5 Trading Desk RAROC" sheetId="25" state="visible" r:id="rId27"/>
    <sheet name="3.6 Relationship RAROC" sheetId="26" state="visible" r:id="rId28"/>
    <sheet name="3.7 Capital Allocation" sheetId="27" state="visible" r:id="rId29"/>
    <sheet name="3.8 Collateral Impact" sheetId="28" state="visible" r:id="rId30"/>
    <sheet name="M4 Regression Concept" sheetId="29" state="visible" r:id="rId31"/>
    <sheet name="4.1 Beta Regression" sheetId="30" state="visible" r:id="rId32"/>
    <sheet name="4.2 Multiple Regression" sheetId="31" state="visible" r:id="rId33"/>
    <sheet name="4.3 Hedge Ratio" sheetId="32" state="visible" r:id="rId34"/>
    <sheet name="4.4 Portfolio Variance" sheetId="33" state="visible" r:id="rId35"/>
    <sheet name="4.5 Variance Decomposition" sheetId="34" state="visible" r:id="rId36"/>
    <sheet name="4.6 Fund Volatility" sheetId="35" state="visible" r:id="rId37"/>
    <sheet name="4.7 Flexible Budget" sheetId="36" state="visible" r:id="rId38"/>
    <sheet name="4.8 ANOVA" sheetId="37" state="visible" r:id="rId39"/>
    <sheet name="Formula Sheet" sheetId="38" state="visible" r:id="rId40"/>
    <sheet name="Answer Key" sheetId="39" state="visible" r:id="rId4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<sst xmlns="http://schemas.openxmlformats.org/spreadsheetml/2006/main" count="1746" uniqueCount="1126">
  <si>
    <t xml:space="preserve">COMandFIN</t>
  </si>
  <si>
    <t xml:space="preserve">Financial Risk Management — Case Study Workbook</t>
  </si>
  <si>
    <t xml:space="preserve">Value at Risk  •  Sensitivity Measures  •  RAROC  •  Regression &amp; Variance Analysis</t>
  </si>
  <si>
    <t xml:space="preserve">FACULTY EDITION — live solution formulas</t>
  </si>
  <si>
    <t xml:space="preserve">Prepared by CA Ankit Bajaj, Founder, COMandFIN Edutech Pvt. Ltd.</t>
  </si>
  <si>
    <t xml:space="preserve">LEGEND</t>
  </si>
  <si>
    <t xml:space="preserve">12.50</t>
  </si>
  <si>
    <t xml:space="preserve">Blue text = given input / assumption (change to run what-if analysis)</t>
  </si>
  <si>
    <t xml:space="preserve">fx</t>
  </si>
  <si>
    <t xml:space="preserve">Black text = live formula (solution)</t>
  </si>
  <si>
    <t xml:space="preserve">link</t>
  </si>
  <si>
    <t xml:space="preserve">Green text = link to another sheet (answer key)</t>
  </si>
  <si>
    <t xml:space="preserve">Conventions: ₹ crore unless stated; z₉₅ = 1.645, z₉₉ = 2.326; tax 25% and post-tax hurdle 15% in RAROC cases. Company names and case data are illustrative.</t>
  </si>
  <si>
    <t xml:space="preserve">CONTENTS (click a sheet name to open it)</t>
  </si>
  <si>
    <t xml:space="preserve">Case</t>
  </si>
  <si>
    <t xml:space="preserve">Title</t>
  </si>
  <si>
    <t xml:space="preserve">Sheet</t>
  </si>
  <si>
    <t xml:space="preserve">Key answer</t>
  </si>
  <si>
    <t xml:space="preserve">Value</t>
  </si>
  <si>
    <t xml:space="preserve">Module 1</t>
  </si>
  <si>
    <t xml:space="preserve">Value at Risk (VaR) — concept note</t>
  </si>
  <si>
    <t xml:space="preserve">M1 VaR Concept</t>
  </si>
  <si>
    <t xml:space="preserve">1.1</t>
  </si>
  <si>
    <t xml:space="preserve">Parametric VaR for an Equity ETF Portfolio</t>
  </si>
  <si>
    <t xml:space="preserve">1.1 Parametric VaR</t>
  </si>
  <si>
    <t xml:space="preserve">1-day 99% VaR (₹ cr)</t>
  </si>
  <si>
    <t xml:space="preserve">1.2</t>
  </si>
  <si>
    <t xml:space="preserve">Diversification Benefit in a Two-Asset Portfolio</t>
  </si>
  <si>
    <t xml:space="preserve">1.2 Portfolio VaR</t>
  </si>
  <si>
    <t xml:space="preserve">Diversified VaR (₹ cr)</t>
  </si>
  <si>
    <t xml:space="preserve">1.3</t>
  </si>
  <si>
    <t xml:space="preserve">Historical Simulation VaR and Expected Shortfall</t>
  </si>
  <si>
    <t xml:space="preserve">1.3 Historical VaR &amp; ES</t>
  </si>
  <si>
    <t xml:space="preserve">99% historical VaR (₹ cr)</t>
  </si>
  <si>
    <t xml:space="preserve">1.4</t>
  </si>
  <si>
    <t xml:space="preserve">VaR Backtesting and the Basel Traffic-Light Test</t>
  </si>
  <si>
    <t xml:space="preserve">1.4 VaR Backtesting</t>
  </si>
  <si>
    <t xml:space="preserve">Capital charge (₹ cr)</t>
  </si>
  <si>
    <t xml:space="preserve">1.5</t>
  </si>
  <si>
    <t xml:space="preserve">Interest-Rate VaR on a Government Securities Portfolio</t>
  </si>
  <si>
    <t xml:space="preserve">1.5 Bond VaR</t>
  </si>
  <si>
    <t xml:space="preserve">1.6</t>
  </si>
  <si>
    <t xml:space="preserve">FX VaR for an Importer’s USD Payable</t>
  </si>
  <si>
    <t xml:space="preserve">1.6 FX VaR</t>
  </si>
  <si>
    <t xml:space="preserve">10-day 95% VaR (₹ cr)</t>
  </si>
  <si>
    <t xml:space="preserve">1.7</t>
  </si>
  <si>
    <t xml:space="preserve">VaR versus Expected Shortfall under FRTB</t>
  </si>
  <si>
    <t xml:space="preserve">1.7 VaR vs ES</t>
  </si>
  <si>
    <t xml:space="preserve">ES 97.5% (₹ cr)</t>
  </si>
  <si>
    <t xml:space="preserve">1.8</t>
  </si>
  <si>
    <t xml:space="preserve">Market Risk Capital with VaR and Stressed VaR (Basel 2.5)</t>
  </si>
  <si>
    <t xml:space="preserve">1.8 Basel Market Capital</t>
  </si>
  <si>
    <t xml:space="preserve">Capital, m = 3.0 (₹ cr)</t>
  </si>
  <si>
    <t xml:space="preserve">Module 2</t>
  </si>
  <si>
    <t xml:space="preserve">Sensitivity Measures — concept note</t>
  </si>
  <si>
    <t xml:space="preserve">M2 Sensitivity Concept</t>
  </si>
  <si>
    <t xml:space="preserve">2.1</t>
  </si>
  <si>
    <t xml:space="preserve">Duration of a Corporate Bond</t>
  </si>
  <si>
    <t xml:space="preserve">2.1 Bond Duration</t>
  </si>
  <si>
    <t xml:space="preserve">Modified duration</t>
  </si>
  <si>
    <t xml:space="preserve">2.2</t>
  </si>
  <si>
    <t xml:space="preserve">Convexity Adjustment for Large Rate Shocks</t>
  </si>
  <si>
    <t xml:space="preserve">2.2 Convexity</t>
  </si>
  <si>
    <t xml:space="preserve">Convexity</t>
  </si>
  <si>
    <t xml:space="preserve">2.3</t>
  </si>
  <si>
    <t xml:space="preserve">PV01 Hedging with Interest Rate Futures</t>
  </si>
  <si>
    <t xml:space="preserve">2.3 PV01 Hedging</t>
  </si>
  <si>
    <t xml:space="preserve">Contracts to sell</t>
  </si>
  <si>
    <t xml:space="preserve">2.4</t>
  </si>
  <si>
    <t xml:space="preserve">Beta Hedging an Equity Portfolio with Nifty Futures</t>
  </si>
  <si>
    <t xml:space="preserve">2.4 Beta Hedging</t>
  </si>
  <si>
    <t xml:space="preserve">Contracts (β → 0)</t>
  </si>
  <si>
    <t xml:space="preserve">2.5</t>
  </si>
  <si>
    <t xml:space="preserve">Option Greeks using Black–Scholes</t>
  </si>
  <si>
    <t xml:space="preserve">2.5 Option Greeks</t>
  </si>
  <si>
    <t xml:space="preserve">Call price (₹)</t>
  </si>
  <si>
    <t xml:space="preserve">2.6</t>
  </si>
  <si>
    <t xml:space="preserve">Delta–Gamma Neutral Hedging of an Options Book</t>
  </si>
  <si>
    <t xml:space="preserve">2.6 Delta-Gamma Hedge</t>
  </si>
  <si>
    <t xml:space="preserve">Option B to buy</t>
  </si>
  <si>
    <t xml:space="preserve">2.7</t>
  </si>
  <si>
    <t xml:space="preserve">Duration Gap Analysis — An SVB-Style Stress</t>
  </si>
  <si>
    <t xml:space="preserve">2.7 Duration Gap</t>
  </si>
  <si>
    <t xml:space="preserve">ΔEVE (₹ cr)</t>
  </si>
  <si>
    <t xml:space="preserve">2.8</t>
  </si>
  <si>
    <t xml:space="preserve">Effective Duration and Negative Convexity of a Callable Bond</t>
  </si>
  <si>
    <t xml:space="preserve">2.8 Effective Duration</t>
  </si>
  <si>
    <t xml:space="preserve">Effective duration</t>
  </si>
  <si>
    <t xml:space="preserve">Module 3</t>
  </si>
  <si>
    <t xml:space="preserve">Risk-Adjusted Return on Capital (RAROC) — concept note</t>
  </si>
  <si>
    <t xml:space="preserve">M3 RAROC Concept</t>
  </si>
  <si>
    <t xml:space="preserve">3.1</t>
  </si>
  <si>
    <t xml:space="preserve">RAROC of a Corporate Term Loan</t>
  </si>
  <si>
    <t xml:space="preserve">3.1 Loan RAROC</t>
  </si>
  <si>
    <t xml:space="preserve">RAROC</t>
  </si>
  <si>
    <t xml:space="preserve">3.2</t>
  </si>
  <si>
    <t xml:space="preserve">Risk-Based Pricing — Minimum Lending Rate</t>
  </si>
  <si>
    <t xml:space="preserve">3.2 Risk-Based Pricing</t>
  </si>
  <si>
    <t xml:space="preserve">Minimum rate</t>
  </si>
  <si>
    <t xml:space="preserve">3.3</t>
  </si>
  <si>
    <t xml:space="preserve">Large Corporate vs SME — Which Customer Creates More Value?</t>
  </si>
  <si>
    <t xml:space="preserve">3.3 Corporate vs SME</t>
  </si>
  <si>
    <t xml:space="preserve">RAROC — Customer A</t>
  </si>
  <si>
    <t xml:space="preserve">3.4</t>
  </si>
  <si>
    <t xml:space="preserve">Economic Capital from a Credit Loss Distribution</t>
  </si>
  <si>
    <t xml:space="preserve">3.4 Economic Capital</t>
  </si>
  <si>
    <t xml:space="preserve">Portfolio RAROC</t>
  </si>
  <si>
    <t xml:space="preserve">3.5</t>
  </si>
  <si>
    <t xml:space="preserve">RAROC for Treasury Trading Desks</t>
  </si>
  <si>
    <t xml:space="preserve">3.5 Trading Desk RAROC</t>
  </si>
  <si>
    <t xml:space="preserve">RAROC — FX desk</t>
  </si>
  <si>
    <t xml:space="preserve">3.6</t>
  </si>
  <si>
    <t xml:space="preserve">Relationship RAROC with Fee Cross-Sell</t>
  </si>
  <si>
    <t xml:space="preserve">3.6 Relationship RAROC</t>
  </si>
  <si>
    <t xml:space="preserve">Relationship RAROC</t>
  </si>
  <si>
    <t xml:space="preserve">3.7</t>
  </si>
  <si>
    <t xml:space="preserve">Capital Allocation with Diversification</t>
  </si>
  <si>
    <t xml:space="preserve">3.7 Capital Allocation</t>
  </si>
  <si>
    <t xml:space="preserve">Corporate RAROC (diversified)</t>
  </si>
  <si>
    <t xml:space="preserve">3.8</t>
  </si>
  <si>
    <t xml:space="preserve">Impact of Collateral on RAROC</t>
  </si>
  <si>
    <t xml:space="preserve">3.8 Collateral Impact</t>
  </si>
  <si>
    <t xml:space="preserve">RAROC — secured</t>
  </si>
  <si>
    <t xml:space="preserve">Module 4</t>
  </si>
  <si>
    <t xml:space="preserve">Regression &amp; Variance Analysis — concept note</t>
  </si>
  <si>
    <t xml:space="preserve">M4 Regression Concept</t>
  </si>
  <si>
    <t xml:space="preserve">4.1</t>
  </si>
  <si>
    <t xml:space="preserve">Estimating Stock Beta by OLS Regression</t>
  </si>
  <si>
    <t xml:space="preserve">4.1 Beta Regression</t>
  </si>
  <si>
    <t xml:space="preserve">Beta</t>
  </si>
  <si>
    <t xml:space="preserve">4.2</t>
  </si>
  <si>
    <t xml:space="preserve">Interpreting a Multiple Regression — NPA Stress Model</t>
  </si>
  <si>
    <t xml:space="preserve">4.2 Multiple Regression</t>
  </si>
  <si>
    <t xml:space="preserve">Baseline GNPA forecast (%)</t>
  </si>
  <si>
    <t xml:space="preserve">4.3</t>
  </si>
  <si>
    <t xml:space="preserve">Minimum-Variance Hedge Ratio for an Airline</t>
  </si>
  <si>
    <t xml:space="preserve">4.3 Hedge Ratio</t>
  </si>
  <si>
    <t xml:space="preserve">Hedge ratio</t>
  </si>
  <si>
    <t xml:space="preserve">4.4</t>
  </si>
  <si>
    <t xml:space="preserve">Portfolio Variance and Risk Contribution</t>
  </si>
  <si>
    <t xml:space="preserve">4.4 Portfolio Variance</t>
  </si>
  <si>
    <t xml:space="preserve">Portfolio σ</t>
  </si>
  <si>
    <t xml:space="preserve">4.5</t>
  </si>
  <si>
    <t xml:space="preserve">Systematic vs Idiosyncratic Variance</t>
  </si>
  <si>
    <t xml:space="preserve">4.5 Variance Decomposition</t>
  </si>
  <si>
    <t xml:space="preserve">Stock X systematic share</t>
  </si>
  <si>
    <t xml:space="preserve">4.6</t>
  </si>
  <si>
    <t xml:space="preserve">Variance, Volatility and Risk-Adjusted Performance of Two Funds</t>
  </si>
  <si>
    <t xml:space="preserve">4.6 Fund Volatility</t>
  </si>
  <si>
    <t xml:space="preserve">Sharpe — Fund A</t>
  </si>
  <si>
    <t xml:space="preserve">4.7</t>
  </si>
  <si>
    <t xml:space="preserve">Regression-Based Flexible Budget and Cost Variance Analysis</t>
  </si>
  <si>
    <t xml:space="preserve">4.7 Flexible Budget</t>
  </si>
  <si>
    <t xml:space="preserve">Spending variance (₹ lakh)</t>
  </si>
  <si>
    <t xml:space="preserve">4.8</t>
  </si>
  <si>
    <t xml:space="preserve">ANOVA Table and Goodness of Fit</t>
  </si>
  <si>
    <t xml:space="preserve">4.8 ANOVA</t>
  </si>
  <si>
    <t xml:space="preserve">F-statistic</t>
  </si>
  <si>
    <t xml:space="preserve">Appendix</t>
  </si>
  <si>
    <t xml:space="preserve">Formula sheet &amp; Excel functions</t>
  </si>
  <si>
    <t xml:space="preserve">Formula Sheet</t>
  </si>
  <si>
    <t xml:space="preserve">Answer key (all cases)</t>
  </si>
  <si>
    <t xml:space="preserve">Answer Key</t>
  </si>
  <si>
    <t xml:space="preserve">Module 1  |  Value at Risk (VaR) — Concept Note</t>
  </si>
  <si>
    <t xml:space="preserve">◄ Back to Index</t>
  </si>
  <si>
    <t xml:space="preserve">1. WHAT IS IT?</t>
  </si>
  <si>
    <t xml:space="preserve">Value at Risk is the maximum loss a portfolio is expected to suffer over a defined holding period, at a given confidence level, under normal market conditions. A statement such as “1-day 99% VaR is ₹5 crore” means that on 99 trading days out of 100 the loss should not exceed ₹5 crore — and on roughly one day in a hundred, it will. VaR therefore has three inputs: the confidence level, the holding period and the loss distribution of the portfolio.</t>
  </si>
  <si>
    <t xml:space="preserve">2. WHY IS IT IMPORTANT?</t>
  </si>
  <si>
    <t xml:space="preserve">•  Converts exposures in equities, bonds, currencies and commodities into one comparable rupee number for the Board.</t>
  </si>
  <si>
    <t xml:space="preserve">•  Basis for trading limits, risk appetite statements and desk-level capital allocation.</t>
  </si>
  <si>
    <t xml:space="preserve">•  Regulatory use: Basel market-risk capital (internal models), exchange margins (SEBI’s VaR margin in the cash segment), and ICAAP under Pillar 2.</t>
  </si>
  <si>
    <t xml:space="preserve">•  Communicates risk in plain language to non-specialists — one of the reasons J.P. Morgan’s “4:15 report” and its RiskMetrics methodology (1994) made VaR an industry standard.</t>
  </si>
  <si>
    <t xml:space="preserve">3. HOW IS IT USED IN INDUSTRY?</t>
  </si>
  <si>
    <t xml:space="preserve">•  Banks’ treasury and trading desks — daily VaR reports by desk, product and risk factor; limit breaches escalate to the ALCO/Risk Committee.</t>
  </si>
  <si>
    <t xml:space="preserve">•  Clearing corporations (NSE Clearing, ICCL) — VaR margins plus extreme-loss margins are collected from members on cash-market positions.</t>
  </si>
  <si>
    <t xml:space="preserve">•  Mutual funds, insurers and PMS — VaR and tracking-error limits in investment policy statements; stress tests alongside VaR.</t>
  </si>
  <si>
    <t xml:space="preserve">•  Corporates — Cash-flow-at-Risk / FX VaR for import–export exposures and commodity procurement.</t>
  </si>
  <si>
    <t xml:space="preserve">4. KEY FORMULAS</t>
  </si>
  <si>
    <t xml:space="preserve">Measure</t>
  </si>
  <si>
    <t xml:space="preserve">Formula</t>
  </si>
  <si>
    <t xml:space="preserve">Parametric VaR</t>
  </si>
  <si>
    <t xml:space="preserve">VaR = z_c × σ × V        (z₉₅ = 1.645, z₉₉ = 2.326)</t>
  </si>
  <si>
    <t xml:space="preserve">Mean-adjusted VaR</t>
  </si>
  <si>
    <t xml:space="preserve">VaR = (z_c × σ − μ) × V</t>
  </si>
  <si>
    <t xml:space="preserve">Square-root-of-time scaling</t>
  </si>
  <si>
    <t xml:space="preserve">VaR_T-day = VaR_1-day × √T   (assumes i.i.d. returns)</t>
  </si>
  <si>
    <t xml:space="preserve">Two-asset portfolio VaR</t>
  </si>
  <si>
    <t xml:space="preserve">VaR_p = √(VaR₁² + VaR₂² + 2ρ·VaR₁·VaR₂)</t>
  </si>
  <si>
    <t xml:space="preserve">Diversification benefit</t>
  </si>
  <si>
    <t xml:space="preserve">Σ standalone VaRs − Portfolio VaR</t>
  </si>
  <si>
    <t xml:space="preserve">Expected Shortfall (normal)</t>
  </si>
  <si>
    <t xml:space="preserve">ES_c = σ × V × φ(z_c) / (1 − c)</t>
  </si>
  <si>
    <t xml:space="preserve">Bond VaR (delta-normal)</t>
  </si>
  <si>
    <t xml:space="preserve">VaR = V × Modified Duration × σ(Δy) × z_c</t>
  </si>
  <si>
    <t xml:space="preserve">5. GRAPHICAL ILLUSTRATION</t>
  </si>
  <si>
    <t xml:space="preserve">Shaded tails show what VaR measures (the threshold) and what Expected Shortfall measures (the average beyond it).</t>
  </si>
  <si>
    <t xml:space="preserve">Real market returns have fatter tails than the normal curve, so parametric VaR can understate extreme losses.</t>
  </si>
  <si>
    <t xml:space="preserve">6. REAL-LIFE EXAMPLES</t>
  </si>
  <si>
    <t xml:space="preserve">J.P. Morgan — “London Whale” (2012)</t>
  </si>
  <si>
    <t xml:space="preserve">The Chief Investment Office changed its VaR model in January 2012; the new model roughly halved the reported VaR of the synthetic credit portfolio. Positions grew, and losses eventually exceeded US$6 billion. Lesson: VaR model changes need independent validation and VaR must never be the only limit.</t>
  </si>
  <si>
    <t xml:space="preserve">Long-Term Capital Management (1998)</t>
  </si>
  <si>
    <t xml:space="preserve">LTCM’s risk models, calibrated on calm historical data, implied a very low probability of large losses. After Russia’s default, correlations converged and liquidity vanished; a Federal Reserve-brokered consortium of 14 institutions injected about US$3.6 billion. Lesson: VaR says nothing about the size of losses beyond the threshold or about liquidity.</t>
  </si>
  <si>
    <t xml:space="preserve">Basel FRTB — move from VaR to Expected Shortfall</t>
  </si>
  <si>
    <t xml:space="preserve">Under the Fundamental Review of the Trading Book (final standard, January 2019), internal-model banks replace 99% VaR with 97.5% Expected Shortfall calibrated to a period of stress, because ES captures tail severity and is sub-additive.</t>
  </si>
  <si>
    <t xml:space="preserve">Indian equity market margins</t>
  </si>
  <si>
    <t xml:space="preserve">In India’s cash segment, clearing corporations collect a VaR-based margin together with an Extreme Loss Margin (ELM); scrips are grouped by liquidity and volatility, so illiquid stocks attract materially higher VaR margins.</t>
  </si>
  <si>
    <t xml:space="preserve">7. COMMON MISTAKES</t>
  </si>
  <si>
    <t xml:space="preserve">•  Treating VaR as the “worst-case loss” — it is a threshold, not a maximum.</t>
  </si>
  <si>
    <t xml:space="preserve">•  Applying √T scaling to returns that are autocorrelated or to portfolios that change during the horizon.</t>
  </si>
  <si>
    <t xml:space="preserve">•  Adding standalone VaRs to get portfolio VaR (ignores correlation) — or assuming correlations stay stable during a crisis.</t>
  </si>
  <si>
    <t xml:space="preserve">•  Using parametric VaR for option-heavy books where P&amp;L is non-linear.</t>
  </si>
  <si>
    <t xml:space="preserve">•  Ignoring backtesting results; a model with too many exceptions must be recalibrated.</t>
  </si>
  <si>
    <t xml:space="preserve">8. INTERVIEW QUESTIONS</t>
  </si>
  <si>
    <t xml:space="preserve">Q1. What does a 10-day 99% VaR of ₹20 crore mean?</t>
  </si>
  <si>
    <t xml:space="preserve">Model answer: There is a 1% probability that the portfolio will lose more than ₹20 crore over the next 10 trading days under normal market conditions.</t>
  </si>
  <si>
    <t xml:space="preserve">Q2. Why is VaR not a coherent risk measure?</t>
  </si>
  <si>
    <t xml:space="preserve">Model answer: It can violate sub-additivity: the VaR of a combined portfolio can exceed the sum of individual VaRs, which penalises diversification. Expected Shortfall is coherent.</t>
  </si>
  <si>
    <t xml:space="preserve">Q3. How would you choose between historical and Monte Carlo VaR?</t>
  </si>
  <si>
    <t xml:space="preserve">Model answer: Historical for linear books where recent history is representative; Monte Carlo for option-heavy or path-dependent books where full revaluation across many scenarios is required.</t>
  </si>
  <si>
    <t xml:space="preserve">Q4. What is backtesting and the Basel traffic-light approach?</t>
  </si>
  <si>
    <t xml:space="preserve">Model answer: Comparing actual daily P&amp;L against predicted VaR. Over 250 days at 99%, 0–4 exceptions = green, 5–9 = yellow (capital multiplier rises from 3 towards 4), 10+ = red.</t>
  </si>
  <si>
    <t xml:space="preserve">Q5. What is Stressed VaR?</t>
  </si>
  <si>
    <t xml:space="preserve">Model answer: VaR computed with model inputs calibrated to a continuous 12-month period of significant financial stress, introduced in Basel 2.5 after 2008.</t>
  </si>
  <si>
    <t xml:space="preserve">Case 1.1  |  Parametric VaR for an Equity ETF Portfolio</t>
  </si>
  <si>
    <t xml:space="preserve">Single-asset VaR | Confidence level | Time scaling</t>
  </si>
  <si>
    <t xml:space="preserve">BACKGROUND</t>
  </si>
  <si>
    <t xml:space="preserve">Shreeram Asset Managers runs a proprietary book holding ₹50 crore in a Nifty 50 ETF. The CRO wants a one-page risk summary for the Investment Committee meeting. Daily returns over the last year show a standard deviation of 1.20% and an average daily return of 0.05%.</t>
  </si>
  <si>
    <t xml:space="preserve">REQUIRED</t>
  </si>
  <si>
    <t xml:space="preserve">(a)  Compute the 1-day VaR at 95% and 99% confidence.</t>
  </si>
  <si>
    <t xml:space="preserve">(b)  Compute the 10-day 99% VaR using square-root-of-time scaling.</t>
  </si>
  <si>
    <t xml:space="preserve">(c)  Recompute the 1-day 99% VaR after adjusting for the mean return. Is the adjustment material?</t>
  </si>
  <si>
    <t xml:space="preserve">(d)  Explain in one sentence, for the Investment Committee, what the 1-day 99% VaR figure means.</t>
  </si>
  <si>
    <t xml:space="preserve">INPUTS  (BLUE = GIVEN DATA; CHANGE THEM TO RUN WHAT-IF ANALYSIS)</t>
  </si>
  <si>
    <t xml:space="preserve">Parameter</t>
  </si>
  <si>
    <t xml:space="preserve">Note</t>
  </si>
  <si>
    <t xml:space="preserve">Portfolio value (₹ crore)</t>
  </si>
  <si>
    <t xml:space="preserve">Daily volatility (σ)</t>
  </si>
  <si>
    <t xml:space="preserve">Average daily return (μ)</t>
  </si>
  <si>
    <t xml:space="preserve">z-value 95%</t>
  </si>
  <si>
    <t xml:space="preserve">Excel: NORM.S.INV(0.95)</t>
  </si>
  <si>
    <t xml:space="preserve">z-value 99%</t>
  </si>
  <si>
    <t xml:space="preserve">Excel: NORM.S.INV(0.99)</t>
  </si>
  <si>
    <t xml:space="preserve">Holding period (days)</t>
  </si>
  <si>
    <t xml:space="preserve">SOLUTION WORKINGS (LIVE FORMULAS)</t>
  </si>
  <si>
    <t xml:space="preserve">1-day 95% VaR (₹ crore)</t>
  </si>
  <si>
    <t xml:space="preserve">1-day 99% VaR (₹ crore)</t>
  </si>
  <si>
    <t xml:space="preserve">10-day 99% VaR (₹ crore)</t>
  </si>
  <si>
    <t xml:space="preserve">Mean-adjusted 1-day 99% VaR (₹ crore)</t>
  </si>
  <si>
    <t xml:space="preserve">Reduction from mean adjustment (%)</t>
  </si>
  <si>
    <t xml:space="preserve">FACULTY COMMENTARY (BASED ON THE BASE-CASE INPUTS)</t>
  </si>
  <si>
    <t xml:space="preserve">The mean adjustment reduces VaR by only ₹0.03 crore (1.8%). Over a 1-day horizon the mean is negligible relative to volatility, which is why regulators allow it to be ignored for short horizons.</t>
  </si>
  <si>
    <t xml:space="preserve">Committee wording: “On 99 out of 100 trading days we do not expect to lose more than about ₹1.40 crore on this ETF position; on roughly 2–3 days a year the loss could be larger.”</t>
  </si>
  <si>
    <t xml:space="preserve">Key answer: 95%: ₹0.99 crore; 99%: ₹1.40 crore; 10-day 99%: ₹4.41 crore</t>
  </si>
  <si>
    <t xml:space="preserve">Case 1.2  |  Diversification Benefit in a Two-Asset Portfolio</t>
  </si>
  <si>
    <t xml:space="preserve">Portfolio VaR | Correlation | Diversification</t>
  </si>
  <si>
    <t xml:space="preserve">A family office holds ₹60 crore in Indian equities and ₹40 crore in Gold ETFs. The patriarch believes gold is a “hedge” and wants to know how much risk the gold allocation actually removes.</t>
  </si>
  <si>
    <t xml:space="preserve">(a)  Compute the standalone 1-day 99% VaR of each asset.</t>
  </si>
  <si>
    <t xml:space="preserve">(b)  Compute the undiversified VaR and the diversified portfolio VaR.</t>
  </si>
  <si>
    <t xml:space="preserve">(c)  Quantify the diversification benefit in ₹ and as a % of undiversified VaR.</t>
  </si>
  <si>
    <t xml:space="preserve">(d)  Recompute portfolio VaR if correlation rises to +0.50 and to +1.00. What does this imply in a crisis?</t>
  </si>
  <si>
    <t xml:space="preserve">Equity value (₹ crore)</t>
  </si>
  <si>
    <t xml:space="preserve">Equity daily σ</t>
  </si>
  <si>
    <t xml:space="preserve">Gold ETF value (₹ crore)</t>
  </si>
  <si>
    <t xml:space="preserve">Gold daily σ</t>
  </si>
  <si>
    <t xml:space="preserve">Correlation (base case)</t>
  </si>
  <si>
    <t xml:space="preserve">Correlation (scenario 2)</t>
  </si>
  <si>
    <t xml:space="preserve">Correlation (scenario 3)</t>
  </si>
  <si>
    <t xml:space="preserve">Equity standalone VaR (₹ crore)</t>
  </si>
  <si>
    <t xml:space="preserve">Gold standalone VaR (₹ crore)</t>
  </si>
  <si>
    <t xml:space="preserve">Undiversified VaR (₹ crore)</t>
  </si>
  <si>
    <t xml:space="preserve">Diversified portfolio VaR (₹ crore)</t>
  </si>
  <si>
    <t xml:space="preserve">Diversification benefit (₹ crore)</t>
  </si>
  <si>
    <t xml:space="preserve">Benefit as % of undiversified VaR</t>
  </si>
  <si>
    <t xml:space="preserve">Portfolio VaR at scenario-2 correlation</t>
  </si>
  <si>
    <t xml:space="preserve">Portfolio VaR at scenario-3 correlation</t>
  </si>
  <si>
    <t xml:space="preserve">Diversification benefit = ₹0.74 crore, i.e. 26.7% of undiversified VaR.</t>
  </si>
  <si>
    <t xml:space="preserve">At ρ = +1 VaR becomes simply additive. Correlations tend to rise in stressed markets (e.g. March 2020, when gold also fell sharply for a few days as investors sold liquid assets), so diversification benefits should be stress-tested rather than assumed.</t>
  </si>
  <si>
    <t xml:space="preserve">Key answer: Diversified VaR ₹2.05 crore; benefit ₹0.74 crore</t>
  </si>
  <si>
    <t xml:space="preserve">Case 1.3  |  Historical Simulation VaR and Expected Shortfall</t>
  </si>
  <si>
    <t xml:space="preserve">Historical VaR | Expected Shortfall | Fat tails</t>
  </si>
  <si>
    <t xml:space="preserve">The market risk unit of Konark Bank re-priced its ₹80 crore equity trading book over the last 500 trading days. The 15 worst daily returns (sorted) are shown below. Bank policy uses the 5th worst observation as the 99% VaR (500 × 1% = 5) and the average of the worst 12 observations as the 97.5% ES (500 × 2.5% = 12.5, rounded down).</t>
  </si>
  <si>
    <t xml:space="preserve">(a)  Compute the 1-day 99% historical VaR in % and ₹.</t>
  </si>
  <si>
    <t xml:space="preserve">(b)  Compute the 1-day 99% Expected Shortfall (average of the worst 5) and the 97.5% ES (average of the worst 12).</t>
  </si>
  <si>
    <t xml:space="preserve">(c)  If the book’s daily σ is 1.50%, compute 99% parametric VaR and compare it with the historical estimate.</t>
  </si>
  <si>
    <t xml:space="preserve">(d)  Graph task: plot the 15 worst returns as a bar chart and mark the VaR cut-off.</t>
  </si>
  <si>
    <t xml:space="preserve">(e)  What does the gap between the two VaR numbers tell you about the return distribution?</t>
  </si>
  <si>
    <t xml:space="preserve">Rank used for 99% VaR (500 × 1%)</t>
  </si>
  <si>
    <t xml:space="preserve">Observations averaged for 97.5% ES</t>
  </si>
  <si>
    <t xml:space="preserve">Daily σ for parametric comparison</t>
  </si>
  <si>
    <t xml:space="preserve">Rank</t>
  </si>
  <si>
    <t xml:space="preserve">Daily return</t>
  </si>
  <si>
    <t xml:space="preserve">99% historical VaR (%)</t>
  </si>
  <si>
    <t xml:space="preserve">99% historical VaR (₹ crore)</t>
  </si>
  <si>
    <t xml:space="preserve">99% ES — average of worst k (%)</t>
  </si>
  <si>
    <t xml:space="preserve">99% ES (₹ crore)</t>
  </si>
  <si>
    <t xml:space="preserve">97.5% ES — average of worst 12 (%)</t>
  </si>
  <si>
    <t xml:space="preserve">97.5% ES (₹ crore)</t>
  </si>
  <si>
    <t xml:space="preserve">Parametric 99% VaR (%)</t>
  </si>
  <si>
    <t xml:space="preserve">Parametric 99% VaR (₹ crore)</t>
  </si>
  <si>
    <t xml:space="preserve">Historical minus parametric (₹ crore)</t>
  </si>
  <si>
    <t xml:space="preserve">Historical VaR exceeds parametric VaR by ₹0.74 crore (26%). The empirical distribution has fatter left tails than the normal distribution, so the parametric model would understate capital and limits. Expected Shortfall adds information VaR omits: when losses breach VaR, they average about 5.4%.</t>
  </si>
  <si>
    <t xml:space="preserve">Note for discussion: under the normal distribution 97.5% ES ≈ 99% VaR; here 97.5% ES (4.31%) is close to 99% historical VaR (4.41%), which is exactly the calibration logic behind FRTB.</t>
  </si>
  <si>
    <t xml:space="preserve">Key answer: Hist VaR ₹3.53 crore; ES99 ₹4.33 crore; Parametric ₹2.79 crore</t>
  </si>
  <si>
    <t xml:space="preserve">Case 1.4  |  VaR Backtesting and the Basel Traffic-Light Test</t>
  </si>
  <si>
    <t xml:space="preserve">Backtesting | Exceptions | Capital multiplier</t>
  </si>
  <si>
    <t xml:space="preserve">Over the last 250 trading days, Deccan Bank’s 1-day 99% VaR model recorded 8 days on which the actual trading loss exceeded the predicted VaR. The average 10-day 99% VaR over the last 60 days is ₹15 crore. The Head of Market Risk must present the backtesting result to the Risk Management Committee of the Board.</t>
  </si>
  <si>
    <t xml:space="preserve">(a)  How many exceptions would you expect for a correctly calibrated model?</t>
  </si>
  <si>
    <t xml:space="preserve">(b)  Using the binomial distribution, compute the probability of 8 or more exceptions if the model is correct.</t>
  </si>
  <si>
    <t xml:space="preserve">(c)  Identify the Basel zone and the capital multiplier.</t>
  </si>
  <si>
    <t xml:space="preserve">(d)  Compute the VaR-based capital charge (multiplier × average VaR) and the additional capital versus the green zone.</t>
  </si>
  <si>
    <t xml:space="preserve">(e)  Recommend two actions for the Risk Committee.</t>
  </si>
  <si>
    <t xml:space="preserve">Observation days</t>
  </si>
  <si>
    <t xml:space="preserve">Exceptions observed</t>
  </si>
  <si>
    <t xml:space="preserve">Tail probability (1 − 99%)</t>
  </si>
  <si>
    <t xml:space="preserve">Average 10-day 99% VaR, last 60 days (₹ crore)</t>
  </si>
  <si>
    <t xml:space="preserve">Base multiplier</t>
  </si>
  <si>
    <t xml:space="preserve">Exceptions (yellow zone)</t>
  </si>
  <si>
    <t xml:space="preserve">Plus factor</t>
  </si>
  <si>
    <t xml:space="preserve">Basel traffic light: 0–4 exceptions = Green (plus factor 0); 5–9 = Yellow (table above); 10+ = Red (plus factor 1.00).</t>
  </si>
  <si>
    <t xml:space="preserve">Expected exceptions</t>
  </si>
  <si>
    <t xml:space="preserve">P(X ≥ observed) if model is correct</t>
  </si>
  <si>
    <t xml:space="preserve">Basel zone</t>
  </si>
  <si>
    <t xml:space="preserve">Capital multiplier</t>
  </si>
  <si>
    <t xml:space="preserve">VaR capital charge (₹ crore)</t>
  </si>
  <si>
    <t xml:space="preserve">Green-zone capital charge (₹ crore)</t>
  </si>
  <si>
    <t xml:space="preserve">Additional capital (₹ crore)</t>
  </si>
  <si>
    <t xml:space="preserve">Such an outcome would occur only about 0.4% of the time if the model were accurate — strong evidence that the model underestimates risk. Eight exceptions fall in the yellow zone; multiplier = 3 + 0.75 = 3.75.</t>
  </si>
  <si>
    <t xml:space="preserve">•  Investigate the exceptions: were they clustered (volatility regime shift), driven by one desk, or by missing risk factors such as basis or option gamma?</t>
  </si>
  <si>
    <t xml:space="preserve">•  Recalibrate (shorter or volatility-weighted look-back, EWMA), add stressed VaR / ES overlays and report a Kupiec/Christoffersen test going forward.</t>
  </si>
  <si>
    <t xml:space="preserve">Key answer: Expected 2.5; P(≥8) 0.40%; yellow zone, k = 3.75; capital ₹56.25 crore</t>
  </si>
  <si>
    <t xml:space="preserve">Case 1.5  |  Interest-Rate VaR on a Government Securities Portfolio</t>
  </si>
  <si>
    <t xml:space="preserve">Bond VaR | Modified duration | PV01</t>
  </si>
  <si>
    <t xml:space="preserve">A cooperative bank’s treasury holds ₹200 crore of Government securities in its AFS book with a portfolio modified duration of 6.5. Historical analysis shows the daily standard deviation of the 10-year G-sec yield change is 6 bps. The Board wants to know the rupee risk arising from yield movements.</t>
  </si>
  <si>
    <t xml:space="preserve">(a)  Compute the portfolio PV01 (value change for a 1 bp move).</t>
  </si>
  <si>
    <t xml:space="preserve">(b)  Compute the 1-day and 10-day 99% VaR.</t>
  </si>
  <si>
    <t xml:space="preserve">(c)  Express the 1-day VaR as an equivalent adverse yield move in bps.</t>
  </si>
  <si>
    <t xml:space="preserve">(d)  State two limitations of using modified duration for VaR.</t>
  </si>
  <si>
    <t xml:space="preserve">Market value (₹ crore)</t>
  </si>
  <si>
    <t xml:space="preserve">Daily σ of yield change</t>
  </si>
  <si>
    <t xml:space="preserve">One basis point</t>
  </si>
  <si>
    <t xml:space="preserve">PV01 (₹ crore per bp)</t>
  </si>
  <si>
    <t xml:space="preserve">PV01 (₹ lakh per bp)</t>
  </si>
  <si>
    <t xml:space="preserve">Equivalent adverse yield move (bps)</t>
  </si>
  <si>
    <t xml:space="preserve">Equivalent yield shock = 2.326 × 6 bps = 13.96 bps; 13.96 × ₹13 lakh ≈ ₹1.81 crore.</t>
  </si>
  <si>
    <t xml:space="preserve">•  Duration is a linear approximation and ignores convexity, so large yield moves are mis-estimated.</t>
  </si>
  <si>
    <t xml:space="preserve">•  Assumes a parallel shift of the yield curve; steepening/flattening (key-rate risk) and spread risk on SDLs/corporate bonds are ignored.</t>
  </si>
  <si>
    <t xml:space="preserve">Key answer: PV01 ₹13 lakh; VaR 1-day ₹1.81 crore; 10-day ₹5.74 crore</t>
  </si>
  <si>
    <t xml:space="preserve">Case 1.6  |  FX VaR for an Importer’s USD Payable</t>
  </si>
  <si>
    <t xml:space="preserve">Currency risk | Corporate VaR | Hedge decision</t>
  </si>
  <si>
    <t xml:space="preserve">Bharat Electronics Components Ltd. (an unlisted importer) has a USD 10 million payable due in 10 trading days. Spot USD/INR is 84.00 and the daily volatility of USD/INR is 0.35%. The CFO wants to know the rupee risk at 95% confidence and the impact of hedging 70% of the exposure with a forward contract.</t>
  </si>
  <si>
    <t xml:space="preserve">(a)  Compute the INR value of the exposure.</t>
  </si>
  <si>
    <t xml:space="preserve">(b)  Compute the 1-day and 10-day 95% VaR in INR.</t>
  </si>
  <si>
    <t xml:space="preserve">(c)  Compute the residual 10-day VaR after hedging 70% with forwards.</t>
  </si>
  <si>
    <t xml:space="preserve">(d)  For an importer, which direction of the rupee creates the loss? Explain.</t>
  </si>
  <si>
    <t xml:space="preserve">Exposure (USD)</t>
  </si>
  <si>
    <t xml:space="preserve">Spot USD/INR</t>
  </si>
  <si>
    <t xml:space="preserve">Daily σ of USD/INR</t>
  </si>
  <si>
    <t xml:space="preserve">Horizon (days)</t>
  </si>
  <si>
    <t xml:space="preserve">Hedge ratio (forward cover)</t>
  </si>
  <si>
    <t xml:space="preserve">Rupees per crore</t>
  </si>
  <si>
    <t xml:space="preserve">INR exposure (₹ crore)</t>
  </si>
  <si>
    <t xml:space="preserve">10-day 95% VaR (₹ crore)</t>
  </si>
  <si>
    <t xml:space="preserve">Residual 10-day VaR after hedge (₹ crore)</t>
  </si>
  <si>
    <t xml:space="preserve">USD/INR at the 10-day adverse move</t>
  </si>
  <si>
    <t xml:space="preserve">The importer loses if the rupee depreciates (USD/INR rises). A 10-day adverse move of about 1.82% would take USD/INR to roughly 85.53. Hedging is a policy decision: the forward locks in the cost (including the forward premium) and removes upside if the rupee appreciates.</t>
  </si>
  <si>
    <t xml:space="preserve">Key answer: 10-day VaR ₹1.53 crore; after 70% hedge ₹0.46 crore</t>
  </si>
  <si>
    <t xml:space="preserve">Case 1.7  |  VaR versus Expected Shortfall under FRTB</t>
  </si>
  <si>
    <t xml:space="preserve">Expected Shortfall | Coherence | Regulation</t>
  </si>
  <si>
    <t xml:space="preserve">A private bank’s ₹100 crore trading portfolio has a daily σ of 1.50%. The bank is preparing for the Basel FRTB transition, which replaces 99% VaR with 97.5% Expected Shortfall. The Board asks whether the change will increase capital.</t>
  </si>
  <si>
    <t xml:space="preserve">(a)  Compute 1-day VaR at 97.5% and 99%.</t>
  </si>
  <si>
    <t xml:space="preserve">(b)  Compute 1-day ES at 97.5% and 99% assuming normality (ES = σ·V·φ(z)/(1 − c)).</t>
  </si>
  <si>
    <t xml:space="preserve">(c)  Compare 97.5% ES with 99% VaR. Why did regulators choose 97.5%?</t>
  </si>
  <si>
    <t xml:space="preserve">(d)  Give two reasons why ES is superior to VaR.</t>
  </si>
  <si>
    <t xml:space="preserve">Daily σ</t>
  </si>
  <si>
    <t xml:space="preserve">Confidence level 1</t>
  </si>
  <si>
    <t xml:space="preserve">Confidence level 2</t>
  </si>
  <si>
    <t xml:space="preserve">z at confidence 1</t>
  </si>
  <si>
    <t xml:space="preserve">z at confidence 2</t>
  </si>
  <si>
    <t xml:space="preserve">VaR 97.5% (₹ crore)</t>
  </si>
  <si>
    <t xml:space="preserve">VaR 99% (₹ crore)</t>
  </si>
  <si>
    <t xml:space="preserve">ES 97.5% (₹ crore)</t>
  </si>
  <si>
    <t xml:space="preserve">ES 99% (₹ crore)</t>
  </si>
  <si>
    <t xml:space="preserve">ES 97.5% ÷ VaR 99%</t>
  </si>
  <si>
    <t xml:space="preserve">Under normality, 97.5% ES (₹3.51 crore) ≈ 99% VaR (₹3.49 crore). The 97.5% level was chosen so that capital is broadly comparable for normal distributions, while for fat-tailed portfolios ES rises — capturing the tail risk VaR ignores.</t>
  </si>
  <si>
    <t xml:space="preserve">•  ES is sub-additive (coherent) — it never penalises diversification.</t>
  </si>
  <si>
    <t xml:space="preserve">•  ES measures the severity of losses beyond the threshold; two portfolios with identical VaR can have very different ES.</t>
  </si>
  <si>
    <t xml:space="preserve">Key answer: ES97.5 ₹3.51 crore ≈ VaR99 ₹3.49 crore</t>
  </si>
  <si>
    <t xml:space="preserve">Case 1.8  |  Market Risk Capital with VaR and Stressed VaR (Basel 2.5)</t>
  </si>
  <si>
    <t xml:space="preserve">Regulatory capital | Stressed VaR | Multiplier</t>
  </si>
  <si>
    <t xml:space="preserve">A bank using the internal models approach reports the following 10-day 99% figures (₹ crore). The multiplier is 3.0 in the green zone; following a poor backtest, the regulator may raise it to 3.5.</t>
  </si>
  <si>
    <t xml:space="preserve">(a)  Compute the market-risk capital charge: max(VaRₜ₋₁, m × VaR_avg) + max(sVaRₜ₋₁, m × sVaR_avg) with m = 3.0.</t>
  </si>
  <si>
    <t xml:space="preserve">(b)  Recompute with m = 3.5 and quantify the increase.</t>
  </si>
  <si>
    <t xml:space="preserve">(c)  Convert the m = 3.0 capital into risk-weighted assets (RWA = capital × 12.5).</t>
  </si>
  <si>
    <t xml:space="preserve">(d)  Why was Stressed VaR introduced after 2008?</t>
  </si>
  <si>
    <t xml:space="preserve">VaR — previous day (₹ crore)</t>
  </si>
  <si>
    <t xml:space="preserve">VaR — 60-day average (₹ crore)</t>
  </si>
  <si>
    <t xml:space="preserve">Stressed VaR — previous day (₹ crore)</t>
  </si>
  <si>
    <t xml:space="preserve">Stressed VaR — 60-day average (₹ crore)</t>
  </si>
  <si>
    <t xml:space="preserve">Multiplier — green zone</t>
  </si>
  <si>
    <t xml:space="preserve">Multiplier — after poor backtest</t>
  </si>
  <si>
    <t xml:space="preserve">RWA conversion factor</t>
  </si>
  <si>
    <t xml:space="preserve">Capital at green multiplier (₹ crore)</t>
  </si>
  <si>
    <t xml:space="preserve">Capital at higher multiplier (₹ crore)</t>
  </si>
  <si>
    <t xml:space="preserve">Increase (₹ crore)</t>
  </si>
  <si>
    <t xml:space="preserve">Market-risk RWA (₹ crore)</t>
  </si>
  <si>
    <t xml:space="preserve">Pre-2008 VaR models were calibrated on benign periods and produced pro-cyclically low capital. Stressed VaR uses a 12-month period of significant stress (e.g. 2008), roughly doubling market-risk capital and reducing pro-cyclicality.</t>
  </si>
  <si>
    <t xml:space="preserve">Key answer: Capital ₹90.00 crore (m=3); ₹105.00 crore (m=3.5)</t>
  </si>
  <si>
    <t xml:space="preserve">Module 2  |  Sensitivity Measures — Concept Note</t>
  </si>
  <si>
    <t xml:space="preserve">Sensitivity measures quantify how much the value of a position changes for a small change in one risk factor, holding others constant. They are the “first line” of market-risk management: duration, convexity and PV01/DV01 for interest rates; beta for equities; and the option Greeks — delta, gamma, vega, theta and rho — for derivatives. Unlike VaR, they do not need a probability distribution; they answer the question “what happens if this factor moves by one unit?”</t>
  </si>
  <si>
    <t xml:space="preserve">•  They identify which risk factor drives P&amp;L and therefore what to hedge and how much.</t>
  </si>
  <si>
    <t xml:space="preserve">•  They are additive across positions (PV01s and deltas can be summed), making limit-setting and aggregation simple.</t>
  </si>
  <si>
    <t xml:space="preserve">•  Inputs to VaR (delta-normal), stress tests and regulatory capital (the FRTB Standardised Approach is built on sensitivities).</t>
  </si>
  <si>
    <t xml:space="preserve">•  Essential for ALM: duration gap and earnings sensitivity drive Interest Rate Risk in the Banking Book (IRRBB).</t>
  </si>
  <si>
    <t xml:space="preserve">•  Bank treasuries — PV01 limits per portfolio and tenor bucket; duration of AFS/HFT books reported daily.</t>
  </si>
  <si>
    <t xml:space="preserve">•  ALM / IRRBB — duration gap and economic value of equity (EVE) sensitivity to ±200 bps shocks.</t>
  </si>
  <si>
    <t xml:space="preserve">•  Options desks and market makers — delta-hedge continuously, manage gamma and vega limits.</t>
  </si>
  <si>
    <t xml:space="preserve">•  Portfolio managers — beta-adjust portfolios with index futures; duration-manage debt funds.</t>
  </si>
  <si>
    <t xml:space="preserve">Macaulay duration</t>
  </si>
  <si>
    <t xml:space="preserve">D_Mac = Σ [t × PV(CFₜ)] / Price</t>
  </si>
  <si>
    <t xml:space="preserve">D_Mod = D_Mac / (1 + y/m)</t>
  </si>
  <si>
    <t xml:space="preserve">Price change (duration + convexity)</t>
  </si>
  <si>
    <t xml:space="preserve">ΔP/P ≈ −D_Mod × Δy + ½ × Convexity × (Δy)²</t>
  </si>
  <si>
    <t xml:space="preserve">PV01 / DV01</t>
  </si>
  <si>
    <t xml:space="preserve">PV01 = D_Mod × Price × 0.0001</t>
  </si>
  <si>
    <t xml:space="preserve">Effective duration &amp; convexity</t>
  </si>
  <si>
    <t xml:space="preserve">ED = (P₋ − P₊)/(2·P₀·Δy);   EC = (P₋ + P₊ − 2P₀)/(P₀·Δy²)</t>
  </si>
  <si>
    <t xml:space="preserve">Beta hedge (futures)</t>
  </si>
  <si>
    <t xml:space="preserve">N = (β_target − β_current) × Portfolio value / (Futures price × Lot size)</t>
  </si>
  <si>
    <t xml:space="preserve">Delta–gamma approximation</t>
  </si>
  <si>
    <t xml:space="preserve">ΔC ≈ Δ × ΔS + ½ × Γ × (ΔS)²</t>
  </si>
  <si>
    <t xml:space="preserve">Duration gap</t>
  </si>
  <si>
    <t xml:space="preserve">DGAP = D_A − (L/A) × D_L;   ΔE ≈ −DGAP × A × Δy/(1 + y)</t>
  </si>
  <si>
    <t xml:space="preserve">Duration is the slope (tangent) of the price–yield curve; convexity is its curvature.</t>
  </si>
  <si>
    <t xml:space="preserve">Delta rises from 0 to 1 as the option moves into the money; gamma peaks at-the-money near expiry, where hedges need the most frequent rebalancing.</t>
  </si>
  <si>
    <t xml:space="preserve">Silicon Valley Bank (March 2023)</t>
  </si>
  <si>
    <t xml:space="preserve">SVB invested deposit inflows in long-duration Treasuries and MBS. As the Fed raised rates by ~450 bps, unrealised losses on its securities exceeded its equity. A US$1.8 billion realised loss on sale of AFS securities triggered a deposit run and the bank failed on 10 March 2023 — a textbook duration-gap failure.</t>
  </si>
  <si>
    <t xml:space="preserve">Orange County, California (1994)</t>
  </si>
  <si>
    <t xml:space="preserve">The county investment pool used leveraged reverse repos to buy rate-sensitive notes, effectively running a very high duration. When the Fed raised rates through 1994, losses of about US$1.7 billion forced the county into bankruptcy.</t>
  </si>
  <si>
    <t xml:space="preserve">Indian banks’ MTM losses (2017–18)</t>
  </si>
  <si>
    <t xml:space="preserve">When the 10-year G-sec yield rose by roughly 100 bps between mid-2017 and early 2018, banks faced heavy mark-to-market losses on their bond books; the RBI permitted banks to spread these losses over four quarters. Banks subsequently tightened PV01 and duration limits.</t>
  </si>
  <si>
    <t xml:space="preserve">Index options market-making in India</t>
  </si>
  <si>
    <t xml:space="preserve">NSE is among the world’s largest derivatives exchanges by contracts traded, dominated by index options. Market makers manage net delta and gamma intraday; on expiry days gamma near the strike is extreme, which is why SEBI’s 2024 measures on index derivatives targeted expiry-day risk.</t>
  </si>
  <si>
    <t xml:space="preserve">•  Using modified duration for bonds with embedded options — use effective duration instead.</t>
  </si>
  <si>
    <t xml:space="preserve">•  Ignoring convexity for large shocks such as the ±200 bps IRRBB scenarios.</t>
  </si>
  <si>
    <t xml:space="preserve">•  Confusing the sign of DV01 for long vs short positions when netting a hedge.</t>
  </si>
  <si>
    <t xml:space="preserve">•  Assuming a delta hedge is permanent — delta changes with price (gamma) and time (charm).</t>
  </si>
  <si>
    <t xml:space="preserve">•  Using beta estimated from a short or unrepresentative window when sizing hedges.</t>
  </si>
  <si>
    <t xml:space="preserve">Q1. Why does a zero-coupon bond have the highest duration for a given maturity?</t>
  </si>
  <si>
    <t xml:space="preserve">Model answer: All cash flow occurs at maturity, so Macaulay duration equals maturity; coupon bonds return cash earlier, reducing duration.</t>
  </si>
  <si>
    <t xml:space="preserve">Q2. What is negative convexity?</t>
  </si>
  <si>
    <t xml:space="preserve">Model answer: Price rises less than it falls for equal yield moves; seen in callable bonds and MBS because prepayment/call caps price gains when yields fall.</t>
  </si>
  <si>
    <t xml:space="preserve">Q3. How do you make a portfolio delta- and gamma-neutral?</t>
  </si>
  <si>
    <t xml:space="preserve">Model answer: First use another option to neutralise gamma (shares have zero gamma), then use the underlying to neutralise the resulting delta.</t>
  </si>
  <si>
    <t xml:space="preserve">Q4. Explain PV01 vs modified duration.</t>
  </si>
  <si>
    <t xml:space="preserve">Model answer: Modified duration is the % price sensitivity per 1% yield change; PV01 is the rupee change for a 1 bp move — PV01 = MD × value × 0.0001.</t>
  </si>
  <si>
    <t xml:space="preserve">Q5. What caused SVB’s failure from a risk perspective?</t>
  </si>
  <si>
    <t xml:space="preserve">Model answer: A large positive duration gap — long-duration assets funded by short-duration, run-prone deposits — with no hedging of rate risk.</t>
  </si>
  <si>
    <t xml:space="preserve">Case 2.1  |  Duration of a Corporate Bond</t>
  </si>
  <si>
    <t xml:space="preserve">Macaulay &amp; modified duration</t>
  </si>
  <si>
    <t xml:space="preserve">An AAA-rated NBFC has issued a 5-year bond with a 7.50% annual coupon, face value ₹100. The current yield to maturity is 8.00%. A debt fund manager wants to understand the bond’s rate sensitivity before buying ₹25 crore of face value.</t>
  </si>
  <si>
    <t xml:space="preserve">(a)  Compute the bond price.</t>
  </si>
  <si>
    <t xml:space="preserve">(b)  Compute Macaulay and modified duration.</t>
  </si>
  <si>
    <t xml:space="preserve">(c)  Estimate the % price change for a +50 bps yield rise using modified duration, and compare it with the actual change from full repricing.</t>
  </si>
  <si>
    <t xml:space="preserve">(d)  Estimate the rupee loss on ₹25 crore face value for a +50 bps move.</t>
  </si>
  <si>
    <t xml:space="preserve">Annual coupon rate</t>
  </si>
  <si>
    <t xml:space="preserve">Yield to maturity</t>
  </si>
  <si>
    <t xml:space="preserve">Maturity (years)</t>
  </si>
  <si>
    <t xml:space="preserve">Face value (₹)</t>
  </si>
  <si>
    <t xml:space="preserve">Yield shock</t>
  </si>
  <si>
    <t xml:space="preserve">Face value purchased (₹ crore)</t>
  </si>
  <si>
    <t xml:space="preserve">Year (t)</t>
  </si>
  <si>
    <t xml:space="preserve">Cash flow</t>
  </si>
  <si>
    <t xml:space="preserve">Discount factor</t>
  </si>
  <si>
    <t xml:space="preserve">PV</t>
  </si>
  <si>
    <t xml:space="preserve">t × PV</t>
  </si>
  <si>
    <t xml:space="preserve">Bond price (₹)</t>
  </si>
  <si>
    <t xml:space="preserve">Macaulay duration (years)</t>
  </si>
  <si>
    <t xml:space="preserve">Estimated % price change (duration)</t>
  </si>
  <si>
    <t xml:space="preserve">Price after shock — full repricing (₹)</t>
  </si>
  <si>
    <t xml:space="preserve">Actual % price change</t>
  </si>
  <si>
    <t xml:space="preserve">Market value of holding (₹ crore)</t>
  </si>
  <si>
    <t xml:space="preserve">Estimated loss for the shock (₹ crore)</t>
  </si>
  <si>
    <t xml:space="preserve">Key answer: Price ₹98.00; MacD 4.342; ModD 4.020</t>
  </si>
  <si>
    <t xml:space="preserve">Case 2.2  |  Convexity Adjustment for Large Rate Shocks</t>
  </si>
  <si>
    <t xml:space="preserve">Convexity | IRRBB shocks | Graph</t>
  </si>
  <si>
    <t xml:space="preserve">A bank’s ALM desk holds a 10-year 7.20% annual-coupon G-sec trading at par (YTM 7.20%). For IRRBB reporting it must estimate price changes under ±100 bps and ±200 bps parallel shocks.</t>
  </si>
  <si>
    <t xml:space="preserve">(a)  Compute Macaulay duration, modified duration and convexity.</t>
  </si>
  <si>
    <t xml:space="preserve">(b)  For shocks of −200, −100, +100 and +200 bps, estimate % price change using (a) duration only and (b) duration + convexity.</t>
  </si>
  <si>
    <t xml:space="preserve">(c)  Compare with the actual % change from full repricing.</t>
  </si>
  <si>
    <t xml:space="preserve">(d)  Graph task: plot the three estimates for each shock as a clustered bar chart and comment.</t>
  </si>
  <si>
    <t xml:space="preserve">t(t+1) × PV</t>
  </si>
  <si>
    <t xml:space="preserve">Duration only</t>
  </si>
  <si>
    <t xml:space="preserve">Duration + convexity</t>
  </si>
  <si>
    <t xml:space="preserve">Actual (repricing)</t>
  </si>
  <si>
    <t xml:space="preserve">New price (₹)</t>
  </si>
  <si>
    <t xml:space="preserve">Duration alone underestimates gains when rates fall and overestimates losses when rates rise; the error grows with the square of the shock. Adding convexity brings the estimate within about 0.1% of the actual — sufficient for IRRBB reporting, though full revaluation remains the benchmark.</t>
  </si>
  <si>
    <t xml:space="preserve">Key answer: ModD 6.959; Convexity 64.02</t>
  </si>
  <si>
    <t xml:space="preserve">Case 2.3  |  PV01 Hedging with Interest Rate Futures</t>
  </si>
  <si>
    <t xml:space="preserve">PV01 / DV01 | Hedge ratio</t>
  </si>
  <si>
    <t xml:space="preserve">A bank holds ₹500 crore (market value) of G-secs with a modified duration of 5.2. The treasurer expects RBI to pause rate cuts and wants to neutralise rate risk for the next month using exchange-traded interest rate futures. The DV01 of one futures contract is ₹130 (assumed for this case).</t>
  </si>
  <si>
    <t xml:space="preserve">(a)  Compute the portfolio DV01.</t>
  </si>
  <si>
    <t xml:space="preserve">(b)  Compute the number of futures contracts to sell for a full hedge.</t>
  </si>
  <si>
    <t xml:space="preserve">(c)  Estimate the unhedged loss if yields rise by 25 bps and the net result after hedging.</t>
  </si>
  <si>
    <t xml:space="preserve">(d)  List two residual risks that remain after the hedge.</t>
  </si>
  <si>
    <t xml:space="preserve">DV01 per futures contract (₹)</t>
  </si>
  <si>
    <t xml:space="preserve">Assumed for this case</t>
  </si>
  <si>
    <t xml:space="preserve">Yield rise (bps)</t>
  </si>
  <si>
    <t xml:space="preserve">Portfolio DV01 (₹ per bp)</t>
  </si>
  <si>
    <t xml:space="preserve">Futures contracts to sell</t>
  </si>
  <si>
    <t xml:space="preserve">Unhedged loss (₹ crore)</t>
  </si>
  <si>
    <t xml:space="preserve">Gain on short futures (₹ crore)</t>
  </si>
  <si>
    <t xml:space="preserve">Net hedged P&amp;L (₹ crore)</t>
  </si>
  <si>
    <t xml:space="preserve">•  Basis risk — the futures’ cheapest-to-deliver bond and the portfolio bonds can move differently (curve and spread risk).</t>
  </si>
  <si>
    <t xml:space="preserve">•  Non-parallel shifts and convexity mismatch; the hedge must be rebalanced as duration drifts.</t>
  </si>
  <si>
    <t xml:space="preserve">Key answer: DV01 ₹26,00,000; sell 20,000 contracts</t>
  </si>
  <si>
    <t xml:space="preserve">Case 2.4  |  Beta Hedging an Equity Portfolio with Nifty Futures</t>
  </si>
  <si>
    <t xml:space="preserve">Beta | Index futures | Tactical de-risking</t>
  </si>
  <si>
    <t xml:space="preserve">A PMS manager runs a ₹25 crore equity portfolio with a beta of 1.25 to the Nifty 50. Ahead of the Union Budget and a US Fed decision, the manager wants to reduce market exposure without selling stocks. Nifty futures trade at 24,500 with a lot size of 75 (assumed).</t>
  </si>
  <si>
    <t xml:space="preserve">(a)  Compute the value of one futures contract.</t>
  </si>
  <si>
    <t xml:space="preserve">(b)  How many contracts must be sold to make the portfolio beta zero?</t>
  </si>
  <si>
    <t xml:space="preserve">(c)  How many contracts to reduce beta to 0.60?</t>
  </si>
  <si>
    <t xml:space="preserve">(d)  If Nifty falls 8%, compute the portfolio loss unhedged and the futures gain on the full hedge.</t>
  </si>
  <si>
    <t xml:space="preserve">Portfolio beta</t>
  </si>
  <si>
    <t xml:space="preserve">Nifty futures price</t>
  </si>
  <si>
    <t xml:space="preserve">Lot size</t>
  </si>
  <si>
    <t xml:space="preserve">Assumed</t>
  </si>
  <si>
    <t xml:space="preserve">Target beta</t>
  </si>
  <si>
    <t xml:space="preserve">Nifty fall (scenario)</t>
  </si>
  <si>
    <t xml:space="preserve">Value of one contract (₹)</t>
  </si>
  <si>
    <t xml:space="preserve">Contracts to sell for beta = 0</t>
  </si>
  <si>
    <t xml:space="preserve">Rounded</t>
  </si>
  <si>
    <t xml:space="preserve">Contracts to sell for target beta</t>
  </si>
  <si>
    <t xml:space="preserve">Gain on full hedge (₹ crore)</t>
  </si>
  <si>
    <t xml:space="preserve">Net P&amp;L (₹ crore)</t>
  </si>
  <si>
    <t xml:space="preserve">The hedge removes systematic risk only; stock-specific (idiosyncratic) performance and beta-estimation error remain.</t>
  </si>
  <si>
    <t xml:space="preserve">Key answer: 170 contracts (β→0); 88 (β→0.6)</t>
  </si>
  <si>
    <t xml:space="preserve">Case 2.5  |  Option Greeks using Black–Scholes</t>
  </si>
  <si>
    <t xml:space="preserve">Delta | Gamma | Vega | Theta</t>
  </si>
  <si>
    <t xml:space="preserve">A derivatives desk has written at-the-money 3-month call options on a large-cap stock. Spot = ₹1,500, strike = ₹1,500, risk-free rate = 6.50% (continuous), volatility = 25%, time to expiry = 0.25 years. The desk head wants the Greeks to set hedges.</t>
  </si>
  <si>
    <t xml:space="preserve">(a)  Compute d₁, d₂, N(d₁), N(d₂) and the call price.</t>
  </si>
  <si>
    <t xml:space="preserve">(b)  Compute delta, gamma, vega (per 1% vol) and theta (per day).</t>
  </si>
  <si>
    <t xml:space="preserve">(c)  Estimate the change in call price for a ₹30 rise in the stock using (a) delta only and (b) delta + gamma. Compare with the actual Black–Scholes reprice.</t>
  </si>
  <si>
    <t xml:space="preserve">(d)  Why is gamma most dangerous for a short-option position close to expiry?</t>
  </si>
  <si>
    <t xml:space="preserve">Spot price (₹)</t>
  </si>
  <si>
    <t xml:space="preserve">Strike price (₹)</t>
  </si>
  <si>
    <t xml:space="preserve">Risk-free rate (continuous)</t>
  </si>
  <si>
    <t xml:space="preserve">Volatility (σ)</t>
  </si>
  <si>
    <t xml:space="preserve">Time to expiry (years)</t>
  </si>
  <si>
    <t xml:space="preserve">Price move tested (₹)</t>
  </si>
  <si>
    <t xml:space="preserve">d₁</t>
  </si>
  <si>
    <t xml:space="preserve">d₂</t>
  </si>
  <si>
    <t xml:space="preserve">N(d₁)</t>
  </si>
  <si>
    <t xml:space="preserve">N(d₂)</t>
  </si>
  <si>
    <t xml:space="preserve">Delta</t>
  </si>
  <si>
    <t xml:space="preserve">Gamma</t>
  </si>
  <si>
    <t xml:space="preserve">Vega (₹ per 1% vol)</t>
  </si>
  <si>
    <t xml:space="preserve">Theta (₹ per day)</t>
  </si>
  <si>
    <t xml:space="preserve">Delta-only estimate of Δcall (₹)</t>
  </si>
  <si>
    <t xml:space="preserve">Delta + gamma estimate (₹)</t>
  </si>
  <si>
    <t xml:space="preserve">d₁ at new spot</t>
  </si>
  <si>
    <t xml:space="preserve">Call price at new spot (₹)</t>
  </si>
  <si>
    <t xml:space="preserve">Actual Δcall (₹)</t>
  </si>
  <si>
    <t xml:space="preserve">Near expiry, ATM gamma becomes very large: small moves swing delta between 0 and 1, so the writer must re-hedge frequently, buying high and selling low — losses accumulate faster than theta income.</t>
  </si>
  <si>
    <t xml:space="preserve">Key answer: Call ₹86.86; Δ 0.576; Γ 0.0021</t>
  </si>
  <si>
    <t xml:space="preserve">Case 2.6  |  Delta–Gamma Neutral Hedging of an Options Book</t>
  </si>
  <si>
    <t xml:space="preserve">Delta hedging | Gamma hedging</t>
  </si>
  <si>
    <t xml:space="preserve">A dealer is short 50,000 call options (Option A) with delta 0.55 and gamma 0.0021 each. A second traded option (Option B) on the same stock has delta 0.40 and gamma 0.0030. The dealer wants a hedge that survives larger moves.</t>
  </si>
  <si>
    <t xml:space="preserve">(a)  How many shares are needed for a delta-only hedge?</t>
  </si>
  <si>
    <t xml:space="preserve">(b)  How many Option B contracts make the book gamma-neutral?</t>
  </si>
  <si>
    <t xml:space="preserve">(c)  After the gamma hedge, how many shares make the book delta-neutral as well?</t>
  </si>
  <si>
    <t xml:space="preserve">(d)  Why must the gamma hedge be done first?</t>
  </si>
  <si>
    <t xml:space="preserve">Option A sold (number)</t>
  </si>
  <si>
    <t xml:space="preserve">Delta of Option A</t>
  </si>
  <si>
    <t xml:space="preserve">Gamma of Option A</t>
  </si>
  <si>
    <t xml:space="preserve">Delta of Option B</t>
  </si>
  <si>
    <t xml:space="preserve">Gamma of Option B</t>
  </si>
  <si>
    <t xml:space="preserve">Shares to buy — delta-only hedge</t>
  </si>
  <si>
    <t xml:space="preserve">Option B to buy — gamma neutral</t>
  </si>
  <si>
    <t xml:space="preserve">Net delta after Option B</t>
  </si>
  <si>
    <t xml:space="preserve">Shares to buy for delta neutrality</t>
  </si>
  <si>
    <t xml:space="preserve">Check: net gamma</t>
  </si>
  <si>
    <t xml:space="preserve">Check: net delta</t>
  </si>
  <si>
    <t xml:space="preserve">Shares have zero gamma, so they cannot fix gamma; but adding Option B changes delta. Neutralising gamma first and then correcting delta with stock avoids iteration.</t>
  </si>
  <si>
    <t xml:space="preserve">Key answer: Buy 35,000 Option B + 13,500 shares</t>
  </si>
  <si>
    <t xml:space="preserve">Case 2.7  |  Duration Gap Analysis — An SVB-Style Stress</t>
  </si>
  <si>
    <t xml:space="preserve">ALM | Duration gap | Economic value of equity</t>
  </si>
  <si>
    <t xml:space="preserve">A mid-sized bank has total assets of ₹10,000 crore (duration 4.5 years, largely fixed-rate bonds and home loans) and liabilities of ₹9,200 crore (duration 1.2 years, mostly term deposits and CASA). Equity is ₹800 crore and the average yield is 7%. The Board asks what a 200 bps rise in rates would do to the economic value of equity.</t>
  </si>
  <si>
    <t xml:space="preserve">(a)  Compute the duration gap.</t>
  </si>
  <si>
    <t xml:space="preserve">(b)  Estimate the change in the economic value of equity for +200 bps.</t>
  </si>
  <si>
    <t xml:space="preserve">(c)  Express it as a % of equity and comment.</t>
  </si>
  <si>
    <t xml:space="preserve">(d)  What asset duration would immunise equity? Suggest two practical actions.</t>
  </si>
  <si>
    <t xml:space="preserve">Total assets (₹ crore)</t>
  </si>
  <si>
    <t xml:space="preserve">Asset duration (years)</t>
  </si>
  <si>
    <t xml:space="preserve">Total liabilities (₹ crore)</t>
  </si>
  <si>
    <t xml:space="preserve">Liability duration (years)</t>
  </si>
  <si>
    <t xml:space="preserve">Average yield</t>
  </si>
  <si>
    <t xml:space="preserve">Rate shock</t>
  </si>
  <si>
    <t xml:space="preserve">Equity (₹ crore)</t>
  </si>
  <si>
    <t xml:space="preserve">Duration gap (years)</t>
  </si>
  <si>
    <t xml:space="preserve">Change in economic value of equity (₹ crore)</t>
  </si>
  <si>
    <t xml:space="preserve">As % of equity</t>
  </si>
  <si>
    <t xml:space="preserve">Immunising asset duration (years)</t>
  </si>
  <si>
    <t xml:space="preserve">A 200 bps shock would wipe out nearly four-fifths of economic equity — the same dynamic that sank SVB. Immunising asset duration = 0.92 × 1.2 = 1.104 years.</t>
  </si>
  <si>
    <t xml:space="preserve">•  Pay-fixed interest rate swaps to shorten asset duration; shift new lending to floating-rate (EBLR-linked) products.</t>
  </si>
  <si>
    <t xml:space="preserve">•  Lengthen liability duration (longer-tenor deposits, bonds) and set EVE-sensitivity limits under the IRRBB framework.</t>
  </si>
  <si>
    <t xml:space="preserve">Key answer: DGAP 3.396; ΔE ₹-634.77 crore (-79.3%)</t>
  </si>
  <si>
    <t xml:space="preserve">Case 2.8  |  Effective Duration and Negative Convexity of a Callable Bond</t>
  </si>
  <si>
    <t xml:space="preserve">Effective duration | Embedded options</t>
  </si>
  <si>
    <t xml:space="preserve">A callable corporate bond currently trades at ₹100.80. A pricing model (OAS) shows the price would be ₹102.10 if yields fell 50 bps and ₹99.30 if yields rose 50 bps. The issuer can call the bond at ₹102.</t>
  </si>
  <si>
    <t xml:space="preserve">(a)  Compute effective duration.</t>
  </si>
  <si>
    <t xml:space="preserve">(b)  Compute effective convexity and interpret its sign.</t>
  </si>
  <si>
    <t xml:space="preserve">(c)  Estimate the % price change for a +100 bps shock.</t>
  </si>
  <si>
    <t xml:space="preserve">(d)  Why is modified duration inappropriate for this bond?</t>
  </si>
  <si>
    <t xml:space="preserve">Current price (₹)</t>
  </si>
  <si>
    <t xml:space="preserve">Price if yield −50 bps (₹)</t>
  </si>
  <si>
    <t xml:space="preserve">Price if yield +50 bps (₹)</t>
  </si>
  <si>
    <t xml:space="preserve">Yield change used</t>
  </si>
  <si>
    <t xml:space="preserve">Shock to estimate</t>
  </si>
  <si>
    <t xml:space="preserve">Effective convexity</t>
  </si>
  <si>
    <t xml:space="preserve">Estimated % change for the shock</t>
  </si>
  <si>
    <t xml:space="preserve">Convexity sign</t>
  </si>
  <si>
    <t xml:space="preserve">Negative convexity: as yields fall, the call option caps price appreciation near the call price (₹102), so the price gains less than it loses. Modified duration assumes fixed cash flows; with a call option cash flows change with rates, so effective (option-adjusted) duration is required.</t>
  </si>
  <si>
    <t xml:space="preserve">Key answer: ED 2.778; EC -79.4 (negative)</t>
  </si>
  <si>
    <t xml:space="preserve">Module 3  |  Risk-Adjusted Return on Capital (RAROC) — Concept Note</t>
  </si>
  <si>
    <t xml:space="preserve">RAROC measures the return a business, product or customer earns on the economic capital it consumes. It adjusts profit for expected loss (the average cost of risk) and divides by economic capital (the buffer against unexpected loss). A loan that looks highly profitable on yield may destroy value once its credit risk and capital consumption are recognised.</t>
  </si>
  <si>
    <t xml:space="preserve">•  Puts businesses with very different risk profiles — retail loans, corporate lending, treasury, fee businesses — on one comparable scale.</t>
  </si>
  <si>
    <t xml:space="preserve">•  Drives risk-based pricing: the minimum rate a bank should charge to meet shareholder expectations.</t>
  </si>
  <si>
    <t xml:space="preserve">•  Links risk management to value creation: Economic Value Added (EVA) = (RAROC − hurdle) × capital.</t>
  </si>
  <si>
    <t xml:space="preserve">•  Supports ICAAP, capital budgeting across divisions and performance-linked compensation.</t>
  </si>
  <si>
    <t xml:space="preserve">•  Loan pricing — relationship managers use a RAROC calculator before sanctioning; deals below hurdle need higher pricing, collateral or fee cross-sell.</t>
  </si>
  <si>
    <t xml:space="preserve">•  Capital allocation — the Board allocates economic capital to business lines that earn above-hurdle RAROC.</t>
  </si>
  <si>
    <t xml:space="preserve">•  Performance measurement — business heads are measured on risk-adjusted profit rather than volumes.</t>
  </si>
  <si>
    <t xml:space="preserve">•  Portfolio strategy — exit or re-price segments where RAROC is persistently below the cost of equity.</t>
  </si>
  <si>
    <t xml:space="preserve">RAROC = (Revenue − Funding cost − Operating cost − Expected loss ± Other) × (1 − tax) / Economic Capital</t>
  </si>
  <si>
    <t xml:space="preserve">Expected loss</t>
  </si>
  <si>
    <t xml:space="preserve">EL = PD × LGD × EAD</t>
  </si>
  <si>
    <t xml:space="preserve">Economic capital (credit)</t>
  </si>
  <si>
    <t xml:space="preserve">EC = Credit VaR at 99.9% − EL  (= Unexpected loss)</t>
  </si>
  <si>
    <t xml:space="preserve">Value creation</t>
  </si>
  <si>
    <t xml:space="preserve">EVA (SVA) = (RAROC − Hurdle rate) × Economic Capital</t>
  </si>
  <si>
    <t xml:space="preserve">Decision rule</t>
  </si>
  <si>
    <t xml:space="preserve">Accept if RAROC ≥ Hurdle (cost of equity)</t>
  </si>
  <si>
    <t xml:space="preserve">Break-even loan rate</t>
  </si>
  <si>
    <t xml:space="preserve">Rate = [Hurdle × EC/(1 − t) + Funding + Op. cost + EL] / Exposure</t>
  </si>
  <si>
    <t xml:space="preserve">Expected loss is a cost of doing business (priced and provisioned); economic capital covers the unexpected loss up to the chosen confidence level.</t>
  </si>
  <si>
    <t xml:space="preserve">Bankers Trust — origin of RAROC (late 1970s)</t>
  </si>
  <si>
    <t xml:space="preserve">Under Charles Sanford, Bankers Trust developed RAROC to compare businesses with different risk levels and allocate capital accordingly. The framework became the template for economic-capital systems at global banks.</t>
  </si>
  <si>
    <t xml:space="preserve">Indian banks — Basel III and ICAAP</t>
  </si>
  <si>
    <t xml:space="preserve">RBI requires a minimum total capital ratio of 9% plus a 2.5% capital conservation buffer (11.5%) and an Internal Capital Adequacy Assessment Process. Large banks complement regulatory capital with economic-capital and RAROC models for pricing and allocation.</t>
  </si>
  <si>
    <t xml:space="preserve">The low-rate corporate loan dilemma</t>
  </si>
  <si>
    <t xml:space="preserve">Highly rated corporates borrow at thin spreads, often close to the cost of funds. On ROA they look unattractive, yet their low PD and capital consumption can deliver above-hurdle RAROC — especially with cash-management, FX and trade-finance cross-sell.</t>
  </si>
  <si>
    <t xml:space="preserve">Unsecured retail and MSME lending</t>
  </si>
  <si>
    <t xml:space="preserve">Personal loans and unsecured MSME credit carry high yields but also high EL and capital. RBI’s November 2023 increase in risk weights on consumer credit raised capital consumption and pushed banks to re-price these products — a direct RAROC effect.</t>
  </si>
  <si>
    <t xml:space="preserve">•  Deducting unexpected loss in the numerator — UL is covered by capital, only EL is a cost.</t>
  </si>
  <si>
    <t xml:space="preserve">•  Comparing pre-tax RAROC with a post-tax hurdle (or vice versa).</t>
  </si>
  <si>
    <t xml:space="preserve">•  Ignoring the return earned on allocated capital, or double-counting it alongside full funding cost.</t>
  </si>
  <si>
    <t xml:space="preserve">•  Allocating stand-alone capital without diversification — penalises every business and distorts rankings.</t>
  </si>
  <si>
    <t xml:space="preserve">•  Using RAROC alone: high RAROC on a tiny capital base may add little absolute value — look at EVA too.</t>
  </si>
  <si>
    <t xml:space="preserve">Q1. Why is expected loss deducted but unexpected loss used as the denominator?</t>
  </si>
  <si>
    <t xml:space="preserve">Model answer: EL is predictable and priced like a cost; UL is uncertain and must be absorbed by capital, so it determines how much capital the activity consumes.</t>
  </si>
  <si>
    <t xml:space="preserve">Q2. What is the difference between RAROC and RORAC?</t>
  </si>
  <si>
    <t xml:space="preserve">Model answer: Strictly, RAROC risk-adjusts the numerator (deducts EL) while RORAC divides by risk-adjusted capital. In practice banks use “RAROC” for both adjustments.</t>
  </si>
  <si>
    <t xml:space="preserve">Q3. How do you set the hurdle rate?</t>
  </si>
  <si>
    <t xml:space="preserve">Model answer: Usually the cost of equity from CAPM (risk-free + β × equity risk premium), sometimes with a strategic premium.</t>
  </si>
  <si>
    <t xml:space="preserve">Q4. Can a loan with RAROC below hurdle still be approved?</t>
  </si>
  <si>
    <t xml:space="preserve">Model answer: Yes, if relationship-level RAROC including fees and cross-sell exceeds the hurdle, or for strategic reasons with explicit Board approval.</t>
  </si>
  <si>
    <t xml:space="preserve">Q5. How does collateral affect RAROC?</t>
  </si>
  <si>
    <t xml:space="preserve">Model answer: It lowers LGD, which reduces both EL (numerator) and economic capital (denominator) — usually improving RAROC sharply.</t>
  </si>
  <si>
    <t xml:space="preserve">Case 3.1  |  RAROC of a Corporate Term Loan</t>
  </si>
  <si>
    <t xml:space="preserve">Basic RAROC | Accept / reject</t>
  </si>
  <si>
    <t xml:space="preserve">Vindhya Bank is evaluating a ₹100 crore term loan to a BBB-rated auto-component manufacturer at 9.80%. Assume tax at 25% and a post-tax hurdle rate (cost of equity) of 15% unless stated otherwise. The debt-funded portion of a loan = exposure − economic capital.</t>
  </si>
  <si>
    <t xml:space="preserve">(a)  Compute expected loss.</t>
  </si>
  <si>
    <t xml:space="preserve">(b)  Compute pre-tax and post-tax risk-adjusted profit.</t>
  </si>
  <si>
    <t xml:space="preserve">(c)  Compute RAROC and EVA.</t>
  </si>
  <si>
    <t xml:space="preserve">(d)  Should the loan be approved?</t>
  </si>
  <si>
    <t xml:space="preserve">Exposure / EAD (₹ crore)</t>
  </si>
  <si>
    <t xml:space="preserve">Lending rate</t>
  </si>
  <si>
    <t xml:space="preserve">Cost of funds</t>
  </si>
  <si>
    <t xml:space="preserve">Operating cost (% of exposure)</t>
  </si>
  <si>
    <t xml:space="preserve">Probability of default (PD)</t>
  </si>
  <si>
    <t xml:space="preserve">Loss given default (LGD)</t>
  </si>
  <si>
    <t xml:space="preserve">Economic capital (% of exposure)</t>
  </si>
  <si>
    <t xml:space="preserve">Fee income (₹ crore)</t>
  </si>
  <si>
    <t xml:space="preserve">Cost of servicing fee business (₹ crore)</t>
  </si>
  <si>
    <t xml:space="preserve">Additional economic capital (₹ crore)</t>
  </si>
  <si>
    <t xml:space="preserve">Tax rate</t>
  </si>
  <si>
    <t xml:space="preserve">Assumption: same for all columns</t>
  </si>
  <si>
    <t xml:space="preserve">Hurdle rate (post-tax cost of equity)</t>
  </si>
  <si>
    <t xml:space="preserve">Assumption</t>
  </si>
  <si>
    <t xml:space="preserve">₹ crore</t>
  </si>
  <si>
    <t xml:space="preserve">Economic capital on loan</t>
  </si>
  <si>
    <t xml:space="preserve">Revenue (interest + fees)</t>
  </si>
  <si>
    <t xml:space="preserve">Less: funding cost on debt-funded portion</t>
  </si>
  <si>
    <t xml:space="preserve">Less: operating cost</t>
  </si>
  <si>
    <t xml:space="preserve">Less: expected loss (PD × LGD × EAD)</t>
  </si>
  <si>
    <t xml:space="preserve">Risk-adjusted profit before tax</t>
  </si>
  <si>
    <t xml:space="preserve">Less: tax</t>
  </si>
  <si>
    <t xml:space="preserve">Risk-adjusted profit after tax</t>
  </si>
  <si>
    <t xml:space="preserve">Total economic capital</t>
  </si>
  <si>
    <t xml:space="preserve">EVA = (RAROC − hurdle) × capital</t>
  </si>
  <si>
    <t xml:space="preserve">Decision</t>
  </si>
  <si>
    <t xml:space="preserve">RAROC of 16.69% exceeds the 15% hurdle; EVA = ₹0.17 crore. Approve, but the margin of safety is thin — a one-notch rating downgrade (higher PD) could push it below hurdle.</t>
  </si>
  <si>
    <t xml:space="preserve">Key answer: RAROC 16.69%; EVA ₹0.17 crore</t>
  </si>
  <si>
    <t xml:space="preserve">Case 3.2  |  Risk-Based Pricing — Minimum Lending Rate</t>
  </si>
  <si>
    <t xml:space="preserve">Break-even pricing | Hurdle</t>
  </si>
  <si>
    <t xml:space="preserve">Using the facts of Case 3.1, the relationship manager has been asked by the client to match a competitor’s offer. The credit committee wants to know the lowest rate at which the loan still meets the hurdle. Assume tax at 25% and a post-tax hurdle rate (cost of equity) of 15% unless stated otherwise. The debt-funded portion of a loan = exposure − economic capital.</t>
  </si>
  <si>
    <t xml:space="preserve">(a)  Compute the required post-tax and pre-tax profit to earn exactly 15% RAROC.</t>
  </si>
  <si>
    <t xml:space="preserve">(b)  Compute the minimum lending rate.</t>
  </si>
  <si>
    <t xml:space="preserve">(c)  Should the bank match the competitor’s 9.40%?</t>
  </si>
  <si>
    <t xml:space="preserve">(d)  Recompute the minimum rate if PD rises to 2.50%.</t>
  </si>
  <si>
    <t xml:space="preserve">Exposure (₹ crore)</t>
  </si>
  <si>
    <t xml:space="preserve">Operating cost</t>
  </si>
  <si>
    <t xml:space="preserve">PD (base)</t>
  </si>
  <si>
    <t xml:space="preserve">PD (stressed)</t>
  </si>
  <si>
    <t xml:space="preserve">LGD</t>
  </si>
  <si>
    <t xml:space="preserve">Hurdle rate</t>
  </si>
  <si>
    <t xml:space="preserve">Competitor's offered rate</t>
  </si>
  <si>
    <t xml:space="preserve">Economic capital (₹ crore)</t>
  </si>
  <si>
    <t xml:space="preserve">Required post-tax profit (₹ crore)</t>
  </si>
  <si>
    <t xml:space="preserve">Required pre-tax profit (₹ crore)</t>
  </si>
  <si>
    <t xml:space="preserve">Funding cost (₹ crore)</t>
  </si>
  <si>
    <t xml:space="preserve">Operating cost (₹ crore)</t>
  </si>
  <si>
    <t xml:space="preserve">Expected loss (₹ crore)</t>
  </si>
  <si>
    <t xml:space="preserve">Required revenue (₹ crore)</t>
  </si>
  <si>
    <t xml:space="preserve">Minimum lending rate</t>
  </si>
  <si>
    <t xml:space="preserve">Shortfall at competitor rate, pre-tax (₹ crore)</t>
  </si>
  <si>
    <t xml:space="preserve">Minimum rate at stressed PD</t>
  </si>
  <si>
    <t xml:space="preserve">At 9.40% the loan falls below hurdle. The bank should not match unless it secures cross-sell income of at least ₹0.175 crore p.a. (pre-tax) or obtains collateral that lowers LGD and capital.</t>
  </si>
  <si>
    <t xml:space="preserve">Key answer: Minimum rate 9.575%</t>
  </si>
  <si>
    <t xml:space="preserve">Case 3.3  |  Large Corporate vs SME — Which Customer Creates More Value?</t>
  </si>
  <si>
    <t xml:space="preserve">Comparative RAROC | Yield vs risk</t>
  </si>
  <si>
    <t xml:space="preserve">The business head wants to prioritise SME lending because it earns a spread of 5% versus 1.6% on large corporates. Assume tax at 25% and a post-tax hurdle rate (cost of equity) of 15% unless stated otherwise. The debt-funded portion of a loan = exposure − economic capital.</t>
  </si>
  <si>
    <t xml:space="preserve">(a)  Compute RAROC for each customer.</t>
  </si>
  <si>
    <t xml:space="preserve">(b)  Compute EVA for each customer.</t>
  </si>
  <si>
    <t xml:space="preserve">(c)  Is the business head’s view correct? Explain.</t>
  </si>
  <si>
    <t xml:space="preserve">A — AAA corporate</t>
  </si>
  <si>
    <t xml:space="preserve">B — SME</t>
  </si>
  <si>
    <t xml:space="preserve">Both clear the hurdle, but the AAA corporate delivers a higher RAROC (22.95% vs 16.97%) and over six times the EVA. The SME’s higher spread is largely consumed by expected loss, operating cost and capital. Spread is not profitability; risk-adjusted return is.</t>
  </si>
  <si>
    <t xml:space="preserve">Key answer: A 22.95%; B 16.97%</t>
  </si>
  <si>
    <t xml:space="preserve">Case 3.4  |  Economic Capital from a Credit Loss Distribution</t>
  </si>
  <si>
    <t xml:space="preserve">Credit VaR | EL vs UL | Regulatory comparison</t>
  </si>
  <si>
    <t xml:space="preserve">Simulation of Sahyadri Bank’s ₹5,000 crore MSME loan portfolio gives an expected annual loss of ₹60 crore and a 99.9th-percentile loss of ₹420 crore. Portfolio net interest income is ₹240 crore and operating cost ₹90 crore. Risk-weighted assets are 70% of exposure and the regulatory capital requirement is 11.5% of RWA. Assume tax at 25% and a post-tax hurdle rate (cost of equity) of 15% unless stated otherwise. The debt-funded portion of a loan = exposure − economic capital.</t>
  </si>
  <si>
    <t xml:space="preserve">(a)  Compute economic capital.</t>
  </si>
  <si>
    <t xml:space="preserve">(b)  Compute portfolio RAROC and EVA.</t>
  </si>
  <si>
    <t xml:space="preserve">(c)  Compute regulatory capital and the return on regulatory capital.</t>
  </si>
  <si>
    <t xml:space="preserve">(d)  Why can economic and regulatory capital differ?</t>
  </si>
  <si>
    <t xml:space="preserve">Portfolio exposure (₹ crore)</t>
  </si>
  <si>
    <t xml:space="preserve">99.9% loss quantile (₹ crore)</t>
  </si>
  <si>
    <t xml:space="preserve">Net interest income (₹ crore)</t>
  </si>
  <si>
    <t xml:space="preserve">RWA as % of exposure</t>
  </si>
  <si>
    <t xml:space="preserve">Regulatory capital ratio</t>
  </si>
  <si>
    <t xml:space="preserve">Economic capital = UL (₹ crore)</t>
  </si>
  <si>
    <t xml:space="preserve">Risk-adjusted profit pre-tax (₹ crore)</t>
  </si>
  <si>
    <t xml:space="preserve">Risk-adjusted profit post-tax (₹ crore)</t>
  </si>
  <si>
    <t xml:space="preserve">EVA (₹ crore)</t>
  </si>
  <si>
    <t xml:space="preserve">Regulatory capital (₹ crore)</t>
  </si>
  <si>
    <t xml:space="preserve">Return on regulatory capital</t>
  </si>
  <si>
    <t xml:space="preserve">Economic capital reflects the bank’s own portfolio concentration, correlations and chosen confidence level; regulatory capital uses standardised risk weights that ignore diversification. A bank must hold the higher of the two, so pricing should test both.</t>
  </si>
  <si>
    <t xml:space="preserve">Key answer: EC ₹360 cr; RAROC 18.75%</t>
  </si>
  <si>
    <t xml:space="preserve">Case 3.5  |  RAROC for Treasury Trading Desks</t>
  </si>
  <si>
    <t xml:space="preserve">Market-risk capital | Desk comparison</t>
  </si>
  <si>
    <t xml:space="preserve">The treasury head must decide which desk receives additional risk limits. For this case, annual economic capital is approximated as the 1-day 99% VaR scaled by √250. Assume tax at 25% and a post-tax hurdle rate (cost of equity) of 15% unless stated otherwise. The debt-funded portion of a loan = exposure − economic capital.</t>
  </si>
  <si>
    <t xml:space="preserve">(a)  Compute economic capital for each desk.</t>
  </si>
  <si>
    <t xml:space="preserve">(b)  Compute RAROC and EVA.</t>
  </si>
  <si>
    <t xml:space="preserve">(c)  Which desk should receive the additional limit?</t>
  </si>
  <si>
    <t xml:space="preserve">Equity desk</t>
  </si>
  <si>
    <t xml:space="preserve">FX desk</t>
  </si>
  <si>
    <t xml:space="preserve">Annual revenue (₹ crore)</t>
  </si>
  <si>
    <t xml:space="preserve">Annual cost (₹ crore)</t>
  </si>
  <si>
    <t xml:space="preserve">Trading days for scaling</t>
  </si>
  <si>
    <t xml:space="preserve">Assumption: EC = VaR × √250</t>
  </si>
  <si>
    <t xml:space="preserve">Economic capital</t>
  </si>
  <si>
    <t xml:space="preserve">Pre-tax profit</t>
  </si>
  <si>
    <t xml:space="preserve">Post-tax profit</t>
  </si>
  <si>
    <t xml:space="preserve">EVA</t>
  </si>
  <si>
    <t xml:space="preserve">The equity desk earns higher absolute profit, but the FX desk earns a materially higher RAROC and EVA per unit of risk. Additional limits should go to the FX desk, subject to capacity and client-flow constraints.</t>
  </si>
  <si>
    <t xml:space="preserve">Key answer: Equity 21.35%; FX 31.62%</t>
  </si>
  <si>
    <t xml:space="preserve">Case 3.6  |  Relationship RAROC with Fee Cross-Sell</t>
  </si>
  <si>
    <t xml:space="preserve">Relationship pricing | Fee income</t>
  </si>
  <si>
    <t xml:space="preserve">A ₹150 crore working-capital facility to a large FMCG distributor is priced at 8.90%. The client also offers cash-management (CMS) fees of ₹1.2 crore and FX conversion income of ₹0.8 crore annually, with incremental servicing cost of ₹0.4 crore and additional operational-risk capital of ₹0.5 crore. Assume tax at 25% and a post-tax hurdle rate (cost of equity) of 15% unless stated otherwise. The debt-funded portion of a loan = exposure − economic capital.</t>
  </si>
  <si>
    <t xml:space="preserve">(a)  Compute the standalone loan RAROC.</t>
  </si>
  <si>
    <t xml:space="preserve">(b)  Compute the relationship RAROC including fee income.</t>
  </si>
  <si>
    <t xml:space="preserve">(c)  Recommend a decision.</t>
  </si>
  <si>
    <t xml:space="preserve">Loan only</t>
  </si>
  <si>
    <t xml:space="preserve">Full relationship</t>
  </si>
  <si>
    <t xml:space="preserve">Standalone the loan destroys value (13.17% &lt; 15%), but the relationship earns 21.27%. Approve on a relationship basis, with a covenant/MIS to track that CMS and FX volumes actually materialise — otherwise re-price at renewal.</t>
  </si>
  <si>
    <t xml:space="preserve">Key answer: Loan 13.17%; relationship 21.27%</t>
  </si>
  <si>
    <t xml:space="preserve">Case 3.7  |  Capital Allocation with Diversification</t>
  </si>
  <si>
    <t xml:space="preserve">Group EC | Diversification | Graph</t>
  </si>
  <si>
    <t xml:space="preserve">A bank’s three business units have stand-alone economic capital totalling ₹1,300 crore, but group-level EC after diversification is only ₹1,000 crore. The CFO proposes allocating the diversification benefit pro-rata to stand-alone capital.</t>
  </si>
  <si>
    <t xml:space="preserve">(a)  Compute stand-alone RAROC for each unit.</t>
  </si>
  <si>
    <t xml:space="preserve">(b)  Allocate group EC pro-rata and compute diversified RAROC.</t>
  </si>
  <si>
    <t xml:space="preserve">(c)  Graph task: plot stand-alone vs diversified RAROC against the 15% hurdle.</t>
  </si>
  <si>
    <t xml:space="preserve">(d)  Which unit’s decision changes, and what allocation method is theoretically better?</t>
  </si>
  <si>
    <t xml:space="preserve">Group economic capital after diversification (₹ crore)</t>
  </si>
  <si>
    <t xml:space="preserve">Business unit</t>
  </si>
  <si>
    <t xml:space="preserve">Stand-alone EC (₹ cr)</t>
  </si>
  <si>
    <t xml:space="preserve">Post-tax profit (₹ cr)</t>
  </si>
  <si>
    <t xml:space="preserve">Retail Banking</t>
  </si>
  <si>
    <t xml:space="preserve">Corporate Banking</t>
  </si>
  <si>
    <t xml:space="preserve">Treasury</t>
  </si>
  <si>
    <t xml:space="preserve">Sum of stand-alone EC (₹ crore)</t>
  </si>
  <si>
    <t xml:space="preserve">Allocation factor</t>
  </si>
  <si>
    <t xml:space="preserve">Group RAROC</t>
  </si>
  <si>
    <t xml:space="preserve">RAROC stand-alone</t>
  </si>
  <si>
    <t xml:space="preserve">Allocated EC (₹ cr)</t>
  </si>
  <si>
    <t xml:space="preserve">RAROC diversified</t>
  </si>
  <si>
    <t xml:space="preserve">Hurdle</t>
  </si>
  <si>
    <t xml:space="preserve">Decision change?</t>
  </si>
  <si>
    <t xml:space="preserve">Allocation factor = 1,000 / 1,300 = 0.7692. Corporate Banking moves from below hurdle (14.17%) to above hurdle (18.42%). Group RAROC = 205/1,000 = 20.5%.</t>
  </si>
  <si>
    <t xml:space="preserve">Pro-rata allocation is simple but ignores how much each unit actually contributes to group risk. Marginal or Euler (risk-contribution) allocation is theoretically superior — units that diversify the group receive more of the benefit.</t>
  </si>
  <si>
    <t xml:space="preserve">Key answer: Corporate: 14.17% → 18.42% (crosses hurdle)</t>
  </si>
  <si>
    <t xml:space="preserve">Case 3.8  |  Impact of Collateral on RAROC</t>
  </si>
  <si>
    <t xml:space="preserve">LGD | Credit risk mitigation</t>
  </si>
  <si>
    <t xml:space="preserve">A ₹80 crore loan to a hotel chain can be structured unsecured at 11.00% or secured by property at 10.40%. Security reduces LGD and capital but adds valuation, legal and monitoring cost. Cost of funds is 7.00%. Assume tax at 25% and a post-tax hurdle rate (cost of equity) of 15% unless stated otherwise. The debt-funded portion of a loan = exposure − economic capital.</t>
  </si>
  <si>
    <t xml:space="preserve">(a)  Compute RAROC and EVA for both structures.</t>
  </si>
  <si>
    <t xml:space="preserve">(b)  Which structure should the bank prefer and why?</t>
  </si>
  <si>
    <t xml:space="preserve">(c)  Identify two risks that could erode the collateral benefit.</t>
  </si>
  <si>
    <t xml:space="preserve">Unsecured</t>
  </si>
  <si>
    <t xml:space="preserve">Secured</t>
  </si>
  <si>
    <t xml:space="preserve">Despite a 60 bps lower rate, the secured structure nearly doubles EVA (₹0.85 crore vs ₹0.44 crore) and lifts RAROC to 32.75%, because lower LGD reduces both EL and capital.</t>
  </si>
  <si>
    <t xml:space="preserve">•  Collateral value volatility (hospitality real estate is cyclical) and wrong-way risk — property values fall when the borrower is stressed.</t>
  </si>
  <si>
    <t xml:space="preserve">•  Legal enforceability and time to recovery under SARFAESI / IBC; slow recovery raises effective LGD.</t>
  </si>
  <si>
    <t xml:space="preserve">Key answer: Unsecured 19.62%; Secured 32.75%</t>
  </si>
  <si>
    <t xml:space="preserve">Module 4  |  Regression &amp; Variance Analysis — Concept Note</t>
  </si>
  <si>
    <t xml:space="preserve">Regression analysis estimates the relationship between a dependent variable (Y) and one or more explanatory variables (X). Ordinary Least Squares (OLS) fits the line that minimises the sum of squared residuals. Variance analysis measures and decomposes dispersion — how much a return, cost or portfolio value varies, and which sources drive that variation. Together they answer: How sensitive is Y to X? How much of the risk is explained? What remains unexplained?</t>
  </si>
  <si>
    <t xml:space="preserve">•  Beta, hedge ratios, factor exposures and stress-test models are all regression outputs.</t>
  </si>
  <si>
    <t xml:space="preserve">•  Variance (σ²) is the core input to VaR, portfolio optimisation and risk budgeting.</t>
  </si>
  <si>
    <t xml:space="preserve">•  R² and the ANOVA decomposition show how much risk is systematic (hedgeable) versus idiosyncratic (diversifiable).</t>
  </si>
  <si>
    <t xml:space="preserve">•  Cost-behaviour regression supports flexible budgets and budget-vs-actual variance analysis in FP&amp;A.</t>
  </si>
  <si>
    <t xml:space="preserve">•  Equity research and fund management — beta estimation, factor models (Fama–French), performance attribution.</t>
  </si>
  <si>
    <t xml:space="preserve">•  Banks’ risk and stress testing — regressing NPAs on GDP growth and interest rates; the RBI’s Financial Stability Report uses macro-stress-test models of this type.</t>
  </si>
  <si>
    <t xml:space="preserve">•  Corporate treasury and commodities — minimum-variance hedge ratios for fuel, metals and currencies.</t>
  </si>
  <si>
    <t xml:space="preserve">•  FP&amp;A and cost accounting — separating fixed and variable costs, building flexible budgets and explaining variances.</t>
  </si>
  <si>
    <t xml:space="preserve">Simple regression slope</t>
  </si>
  <si>
    <t xml:space="preserve">β = Cov(X, Y) / Var(X)       α = Ȳ − β·X̄</t>
  </si>
  <si>
    <t xml:space="preserve">Coefficient of determination</t>
  </si>
  <si>
    <t xml:space="preserve">R² = SSR/SST = 1 − SSE/SST   (simple regression: R² = ρ²)</t>
  </si>
  <si>
    <t xml:space="preserve">Adjusted R²</t>
  </si>
  <si>
    <t xml:space="preserve">R̄² = 1 − (1 − R²)(n − 1)/(n − k − 1)</t>
  </si>
  <si>
    <t xml:space="preserve">F = (SSR/k) / (SSE/(n − k − 1))</t>
  </si>
  <si>
    <t xml:space="preserve">Sample variance</t>
  </si>
  <si>
    <t xml:space="preserve">s² = Σ(xᵢ − x̄)² / (n − 1)    Annualised σ = σ_monthly × √12</t>
  </si>
  <si>
    <t xml:space="preserve">Portfolio variance</t>
  </si>
  <si>
    <t xml:space="preserve">σₚ² = wᵀ Σ w = Σᵢ Σⱼ wᵢ wⱼ σᵢ σⱼ ρᵢⱼ</t>
  </si>
  <si>
    <t xml:space="preserve">Variance decomposition</t>
  </si>
  <si>
    <t xml:space="preserve">σᵢ² = βᵢ² σₘ² + σ²(ε)</t>
  </si>
  <si>
    <t xml:space="preserve">Minimum-variance hedge ratio</t>
  </si>
  <si>
    <t xml:space="preserve">h* = ρ × σ_S / σ_F;   hedge effectiveness = ρ²</t>
  </si>
  <si>
    <t xml:space="preserve">OLS picks the line that minimises the sum of squared vertical distances (residuals); the residual variance is the unexplained risk.</t>
  </si>
  <si>
    <t xml:space="preserve">CAPM beta and cost of equity</t>
  </si>
  <si>
    <t xml:space="preserve">Analysts regress a stock’s returns on Nifty 50 or Sensex returns (typically 2–5 years of weekly or monthly data) to estimate beta, which feeds the cost of equity in DCF valuations and the hurdle rate in RAROC.</t>
  </si>
  <si>
    <t xml:space="preserve">Airline fuel hedging</t>
  </si>
  <si>
    <t xml:space="preserve">Jet fuel has no deep futures market in most regions, so airlines cross-hedge with crude oil futures sized by the minimum-variance hedge ratio. Southwest Airlines’ systematic fuel-hedging programme is widely cited for saving it billions of dollars during the 2000s oil price spike.</t>
  </si>
  <si>
    <t xml:space="preserve">Macro stress testing of bank NPAs</t>
  </si>
  <si>
    <t xml:space="preserve">Regulators and banks estimate regressions of gross NPA ratios on GDP growth, interest rates and credit growth, then feed in baseline, medium and severe macro scenarios — the approach behind the stress-test projections in the RBI’s Financial Stability Report.</t>
  </si>
  <si>
    <t xml:space="preserve">Markowitz portfolio theory and risk budgeting</t>
  </si>
  <si>
    <t xml:space="preserve">Harry Markowitz (1952) showed that portfolio variance depends on covariances, not just individual variances. Pension funds and multi-asset funds today run risk-budgeting frameworks that decompose total variance into each asset’s contribution.</t>
  </si>
  <si>
    <t xml:space="preserve">•  Confusing correlation with causation; spurious regressions on trending (non-stationary) series such as price levels instead of returns.</t>
  </si>
  <si>
    <t xml:space="preserve">•  Using population variance (÷n) where sample variance (÷n−1) is required.</t>
  </si>
  <si>
    <t xml:space="preserve">•  Judging a model only by R²; a high R² with insignificant coefficients often signals multicollinearity.</t>
  </si>
  <si>
    <t xml:space="preserve">•  Extrapolating far outside the observed range of X.</t>
  </si>
  <si>
    <t xml:space="preserve">•  Ignoring heteroskedasticity and autocorrelation, which make t-statistics unreliable (use robust/Newey–West SEs).</t>
  </si>
  <si>
    <t xml:space="preserve">Q1. What is the relationship between beta, correlation and volatility?</t>
  </si>
  <si>
    <t xml:space="preserve">Model answer: β = ρ × σ_stock / σ_market. A stock can have low correlation but high beta if it is very volatile.</t>
  </si>
  <si>
    <t xml:space="preserve">Q2. What does an R² of 0.30 for a stock-on-index regression mean?</t>
  </si>
  <si>
    <t xml:space="preserve">Model answer: 30% of the stock’s return variance is explained by the market (systematic); 70% is stock-specific and diversifiable.</t>
  </si>
  <si>
    <t xml:space="preserve">Q3. Why use adjusted R²?</t>
  </si>
  <si>
    <t xml:space="preserve">Model answer: R² never falls when variables are added; adjusted R² penalises additional regressors that do not improve explanatory power.</t>
  </si>
  <si>
    <t xml:space="preserve">Q4. What is multicollinearity and how do you detect it?</t>
  </si>
  <si>
    <t xml:space="preserve">Model answer: High correlation among explanatory variables; detected by VIF &gt; 5–10 or significant F with insignificant individual t-stats.</t>
  </si>
  <si>
    <t xml:space="preserve">Q5. How is the minimum-variance hedge ratio derived?</t>
  </si>
  <si>
    <t xml:space="preserve">Model answer: It is the slope from regressing spot price changes on futures price changes: h* = Cov(ΔS, ΔF)/Var(ΔF) = ρσ_S/σ_F.</t>
  </si>
  <si>
    <t xml:space="preserve">Case 4.1  |  Estimating Stock Beta by OLS Regression</t>
  </si>
  <si>
    <t xml:space="preserve">Simple regression | Beta | R² | Graph</t>
  </si>
  <si>
    <t xml:space="preserve">An equity research analyst covering a listed capital-goods company must estimate its beta for a DCF valuation. Monthly returns for the stock and the Nifty 50 for the last 12 months are given below. (Data are illustrative; in practice use 36–60 months.)</t>
  </si>
  <si>
    <t xml:space="preserve">(a)  Compute mean returns, the covariance of the stock with Nifty and the variance of Nifty (sample).</t>
  </si>
  <si>
    <t xml:space="preserve">(b)  Estimate beta and alpha. Verify with Excel’s SLOPE, INTERCEPT and RSQ.</t>
  </si>
  <si>
    <t xml:space="preserve">(c)  Compute R² and interpret it.</t>
  </si>
  <si>
    <t xml:space="preserve">(d)  Graph task: draw a scatter plot with the fitted regression line (characteristic line).</t>
  </si>
  <si>
    <t xml:space="preserve">(e)  Predict the stock’s return in a month when Nifty falls 5%.</t>
  </si>
  <si>
    <t xml:space="preserve">Month</t>
  </si>
  <si>
    <t xml:space="preserve">Nifty return (%)</t>
  </si>
  <si>
    <t xml:space="preserve">Stock return (%)</t>
  </si>
  <si>
    <t xml:space="preserve">M1</t>
  </si>
  <si>
    <t xml:space="preserve">M2</t>
  </si>
  <si>
    <t xml:space="preserve">M3</t>
  </si>
  <si>
    <t xml:space="preserve">M4</t>
  </si>
  <si>
    <t xml:space="preserve">M5</t>
  </si>
  <si>
    <t xml:space="preserve">M6</t>
  </si>
  <si>
    <t xml:space="preserve">M7</t>
  </si>
  <si>
    <t xml:space="preserve">M8</t>
  </si>
  <si>
    <t xml:space="preserve">M9</t>
  </si>
  <si>
    <t xml:space="preserve">M10</t>
  </si>
  <si>
    <t xml:space="preserve">M11</t>
  </si>
  <si>
    <t xml:space="preserve">M12</t>
  </si>
  <si>
    <t xml:space="preserve">Nifty return scenario for prediction (%)</t>
  </si>
  <si>
    <t xml:space="preserve">Mean Nifty return (%)</t>
  </si>
  <si>
    <t xml:space="preserve">Mean stock return (%)</t>
  </si>
  <si>
    <t xml:space="preserve">Covariance (sample)</t>
  </si>
  <si>
    <t xml:space="preserve">Variance of Nifty (sample)</t>
  </si>
  <si>
    <t xml:space="preserve">Beta = Cov / Var</t>
  </si>
  <si>
    <t xml:space="preserve">Check: SLOPE()</t>
  </si>
  <si>
    <t xml:space="preserve">Alpha (% per month)</t>
  </si>
  <si>
    <t xml:space="preserve">Check: INTERCEPT()</t>
  </si>
  <si>
    <t xml:space="preserve">R²</t>
  </si>
  <si>
    <t xml:space="preserve">Correlation</t>
  </si>
  <si>
    <t xml:space="preserve">Predicted stock return for scenario (%)</t>
  </si>
  <si>
    <t xml:space="preserve">Beta of 1.30 means the stock tends to move 1.30% for every 1% move in Nifty — an aggressive, cyclical stock, consistent with capital goods. About 89% of return variance is market-driven. The small positive alpha is not economically or statistically meaningful on 12 observations.</t>
  </si>
  <si>
    <t xml:space="preserve">Key answer: β 1.299; α 0.063%; R² 0.891</t>
  </si>
  <si>
    <t xml:space="preserve">Case 4.2  |  Interpreting a Multiple Regression — NPA Stress Model</t>
  </si>
  <si>
    <t xml:space="preserve">Multiple regression | t-test | Forecasting</t>
  </si>
  <si>
    <t xml:space="preserve">The risk team of a public sector bank regressed its quarterly gross NPA ratio (%) on three macro variables using 40 quarters of data. The output is below. The CRO must present a baseline and a stress forecast to the Board.</t>
  </si>
  <si>
    <t xml:space="preserve">(a)  Compute the t-statistic for each coefficient and identify which are significant at 5% (t-critical ≈ 2.03 for 36 df).</t>
  </si>
  <si>
    <t xml:space="preserve">(b)  Compute adjusted R² and the F-statistic.</t>
  </si>
  <si>
    <t xml:space="preserve">(c)  Interpret the GDP-growth and repo-rate coefficients in business terms.</t>
  </si>
  <si>
    <t xml:space="preserve">(d)  Forecast the GNPA ratio for a baseline (GDP 6.5%, repo 6.0%, credit growth 14%) and a stress scenario (GDP 3.0%, repo 7.0%, credit growth 14%).</t>
  </si>
  <si>
    <t xml:space="preserve">(e)  Should the credit-growth variable be retained? Discuss.</t>
  </si>
  <si>
    <t xml:space="preserve">Variable</t>
  </si>
  <si>
    <t xml:space="preserve">Coefficient</t>
  </si>
  <si>
    <t xml:space="preserve">Std. error</t>
  </si>
  <si>
    <t xml:space="preserve">Intercept</t>
  </si>
  <si>
    <t xml:space="preserve">Real GDP growth (%)</t>
  </si>
  <si>
    <t xml:space="preserve">Repo rate (%)</t>
  </si>
  <si>
    <t xml:space="preserve">Credit growth, lagged 4Q (%)</t>
  </si>
  <si>
    <t xml:space="preserve">Observations (n)</t>
  </si>
  <si>
    <t xml:space="preserve">Explanatory variables (k)</t>
  </si>
  <si>
    <t xml:space="preserve">Significance level</t>
  </si>
  <si>
    <t xml:space="preserve">Scenario inputs</t>
  </si>
  <si>
    <t xml:space="preserve">Baseline</t>
  </si>
  <si>
    <t xml:space="preserve">Stress</t>
  </si>
  <si>
    <t xml:space="preserve">Credit growth, lagged (%)</t>
  </si>
  <si>
    <t xml:space="preserve">Residual degrees of freedom</t>
  </si>
  <si>
    <t xml:space="preserve">t-critical (two-tailed)</t>
  </si>
  <si>
    <t xml:space="preserve">t-statistic</t>
  </si>
  <si>
    <t xml:space="preserve">p-value</t>
  </si>
  <si>
    <t xml:space="preserve">Significant?</t>
  </si>
  <si>
    <t xml:space="preserve">p-value of F</t>
  </si>
  <si>
    <t xml:space="preserve">Forecast</t>
  </si>
  <si>
    <t xml:space="preserve">Forecast GNPA ratio (%)</t>
  </si>
  <si>
    <t xml:space="preserve">Each 1 pp fall in real GDP growth raises the GNPA ratio by 0.62 pp; each 1 pp rise in the repo rate adds 0.45 pp through higher debt-servicing burden.</t>
  </si>
  <si>
    <t xml:space="preserve">Credit growth is insignificant (t = 1.33, p ≈ 0.19). It may still be retained on economic grounds (rapid credit growth historically precedes NPAs with a lag) if theory supports it, but the team should test alternative lags and check for multicollinearity with GDP growth.</t>
  </si>
  <si>
    <t xml:space="preserve">Key answer: Baseline 4.99%; stress 7.61%</t>
  </si>
  <si>
    <t xml:space="preserve">Case 4.3  |  Minimum-Variance Hedge Ratio for an Airline</t>
  </si>
  <si>
    <t xml:space="preserve">Cross-hedging | Hedge ratio | Effectiveness</t>
  </si>
  <si>
    <t xml:space="preserve">An Indian airline expects to purchase jet fuel equivalent to 2 million barrels over the next quarter. It will cross-hedge using Brent crude futures (contract size 1,000 barrels). A regression of monthly jet-fuel price changes on Brent futures price changes gives the statistics below.</t>
  </si>
  <si>
    <t xml:space="preserve">(a)  Compute the minimum-variance hedge ratio.</t>
  </si>
  <si>
    <t xml:space="preserve">(b)  Compute the number of futures contracts to buy.</t>
  </si>
  <si>
    <t xml:space="preserve">(c)  Compute hedge effectiveness and the residual risk (σ) of the hedged position.</t>
  </si>
  <si>
    <t xml:space="preserve">(d)  Compare with a naïve 1:1 hedge.</t>
  </si>
  <si>
    <t xml:space="preserve">σ of jet-fuel price changes</t>
  </si>
  <si>
    <t xml:space="preserve">σ of Brent futures price changes</t>
  </si>
  <si>
    <t xml:space="preserve">Exposure (barrels)</t>
  </si>
  <si>
    <t xml:space="preserve">Contract size (barrels)</t>
  </si>
  <si>
    <t xml:space="preserve">Futures contracts to buy</t>
  </si>
  <si>
    <t xml:space="preserve">Hedge effectiveness (ρ²)</t>
  </si>
  <si>
    <t xml:space="preserve">Residual σ — optimal hedge</t>
  </si>
  <si>
    <t xml:space="preserve">Contracts — naïve 1:1 hedge</t>
  </si>
  <si>
    <t xml:space="preserve">Residual σ — naïve hedge</t>
  </si>
  <si>
    <t xml:space="preserve">The naïve hedge over-hedges because Brent is more volatile than jet fuel; residual risk (4.30%) is higher than with the optimal hedge (3.43%). About 33% of variance remains as basis risk (crack-spread, INR/USD and pass-through effects).</t>
  </si>
  <si>
    <t xml:space="preserve">Key answer: h* 0.656; 1,312 contracts; effectiveness 67.2%</t>
  </si>
  <si>
    <t xml:space="preserve">Case 4.4  |  Portfolio Variance and Risk Contribution</t>
  </si>
  <si>
    <t xml:space="preserve">Covariance matrix | Risk budgeting</t>
  </si>
  <si>
    <t xml:space="preserve">A wealth manager’s model portfolio is 50% equity, 30% debt and 20% gold. Annual volatilities and correlations are given. The client assumes equity is “half the risk” because it is half the money.</t>
  </si>
  <si>
    <t xml:space="preserve">(a)  Build the covariance matrix.</t>
  </si>
  <si>
    <t xml:space="preserve">(b)  Compute portfolio variance and standard deviation (use MMULT in Excel).</t>
  </si>
  <si>
    <t xml:space="preserve">(c)  Compute each asset’s contribution to portfolio risk (% of total).</t>
  </si>
  <si>
    <t xml:space="preserve">(d)  Is the client’s assumption correct?</t>
  </si>
  <si>
    <t xml:space="preserve">Asset</t>
  </si>
  <si>
    <t xml:space="preserve">Weight</t>
  </si>
  <si>
    <t xml:space="preserve">Annual σ</t>
  </si>
  <si>
    <t xml:space="preserve">ρ Equity</t>
  </si>
  <si>
    <t xml:space="preserve">ρ Debt</t>
  </si>
  <si>
    <t xml:space="preserve">ρ Gold</t>
  </si>
  <si>
    <t xml:space="preserve">Equity</t>
  </si>
  <si>
    <t xml:space="preserve">Debt</t>
  </si>
  <si>
    <t xml:space="preserve">Gold</t>
  </si>
  <si>
    <t xml:space="preserve">Covariance matrix</t>
  </si>
  <si>
    <t xml:space="preserve">(Σw)ᵢ</t>
  </si>
  <si>
    <t xml:space="preserve">Weights (transposed helper row)</t>
  </si>
  <si>
    <t xml:space="preserve">Portfolio variance (wᵀΣw)</t>
  </si>
  <si>
    <t xml:space="preserve">Weighted-average σ (no diversification)</t>
  </si>
  <si>
    <t xml:space="preserve">Marginal contribution</t>
  </si>
  <si>
    <t xml:space="preserve">Risk contribution</t>
  </si>
  <si>
    <t xml:space="preserve">% of portfolio risk</t>
  </si>
  <si>
    <t xml:space="preserve">Equity is 50% of capital but about 88% of risk. Debt and gold together contribute only ~12%. Capital allocation is not risk allocation — the basis of risk-parity strategies.</t>
  </si>
  <si>
    <t xml:space="preserve">Key answer: σₚ 9.48%; equity = 87.8% of risk</t>
  </si>
  <si>
    <t xml:space="preserve">Case 4.5  |  Systematic vs Idiosyncratic Variance</t>
  </si>
  <si>
    <t xml:space="preserve">Variance decomposition | Diversification | Graph</t>
  </si>
  <si>
    <t xml:space="preserve">The Nifty 50 has an annual volatility of 15%. Stock X has beta 1.30 and total volatility 28%. A diversified large-cap fund has beta 0.95 and total volatility 15.2%.</t>
  </si>
  <si>
    <t xml:space="preserve">(a)  Decompose total variance of Stock X and the fund into systematic and idiosyncratic components.</t>
  </si>
  <si>
    <t xml:space="preserve">(b)  Compute the share of systematic variance (equivalent to R² of the market model).</t>
  </si>
  <si>
    <t xml:space="preserve">(c)  Graph task: show the decomposition as a stacked bar chart.</t>
  </si>
  <si>
    <t xml:space="preserve">(d)  Which component is rewarded by the market under CAPM and why?</t>
  </si>
  <si>
    <t xml:space="preserve">Stock X</t>
  </si>
  <si>
    <t xml:space="preserve">Diversified fund</t>
  </si>
  <si>
    <t xml:space="preserve">Market (Nifty 50) annual σ</t>
  </si>
  <si>
    <t xml:space="preserve">Total annual σ</t>
  </si>
  <si>
    <t xml:space="preserve">Total variance</t>
  </si>
  <si>
    <t xml:space="preserve">Systematic variance (β²σₘ²)</t>
  </si>
  <si>
    <t xml:space="preserve">Idiosyncratic variance</t>
  </si>
  <si>
    <t xml:space="preserve">Idiosyncratic σ</t>
  </si>
  <si>
    <t xml:space="preserve">Systematic share (= R²)</t>
  </si>
  <si>
    <t xml:space="preserve">Idiosyncratic share</t>
  </si>
  <si>
    <t xml:space="preserve">Only systematic risk is rewarded under CAPM, because idiosyncratic risk can be diversified away at no cost. Stock X carries roughly half its variance as diversifiable risk; the diversified fund has eliminated most of it.</t>
  </si>
  <si>
    <t xml:space="preserve">Key answer: Stock X systematic 48.5%; fund 87.9%</t>
  </si>
  <si>
    <t xml:space="preserve">Case 4.6  |  Variance, Volatility and Risk-Adjusted Performance of Two Funds</t>
  </si>
  <si>
    <t xml:space="preserve">Sample variance | Annualisation | Sharpe ratio</t>
  </si>
  <si>
    <t xml:space="preserve">A distributor must recommend one of two equity funds to a conservative client. Monthly returns for the last 12 months are given. The annual risk-free rate is 6.5%.</t>
  </si>
  <si>
    <t xml:space="preserve">(a)  Compute the mean monthly return, sample variance and standard deviation of each fund (VAR.S / STDEV.S).</t>
  </si>
  <si>
    <t xml:space="preserve">(b)  Annualise return (×12) and volatility (×√12).</t>
  </si>
  <si>
    <t xml:space="preserve">(c)  Compute the Sharpe ratio and coefficient of variation.</t>
  </si>
  <si>
    <t xml:space="preserve">(d)  Which fund suits the client? Justify.</t>
  </si>
  <si>
    <t xml:space="preserve">Fund A (%)</t>
  </si>
  <si>
    <t xml:space="preserve">Fund B (%)</t>
  </si>
  <si>
    <t xml:space="preserve">Annual risk-free rate (%)</t>
  </si>
  <si>
    <t xml:space="preserve">Months per year</t>
  </si>
  <si>
    <t xml:space="preserve">Fund A</t>
  </si>
  <si>
    <t xml:space="preserve">Fund B</t>
  </si>
  <si>
    <t xml:space="preserve">Mean monthly return (%)</t>
  </si>
  <si>
    <t xml:space="preserve">Monthly σ (%)</t>
  </si>
  <si>
    <t xml:space="preserve">Annualised return (%)</t>
  </si>
  <si>
    <t xml:space="preserve">Annualised σ (%)</t>
  </si>
  <si>
    <t xml:space="preserve">Sharpe ratio</t>
  </si>
  <si>
    <t xml:space="preserve">Coefficient of variation</t>
  </si>
  <si>
    <t xml:space="preserve">Fund B has a higher raw return but more than double the volatility; Fund A delivers almost twice the return per unit of risk. For a conservative client, Fund A. Caveat: 12 months is too short a sample — use 3–5 years and check downside measures (Sortino, maximum drawdown).</t>
  </si>
  <si>
    <t xml:space="preserve">Key answer: Sharpe A 1.48 vs B 0.78</t>
  </si>
  <si>
    <t xml:space="preserve">Case 4.7  |  Regression-Based Flexible Budget and Cost Variance Analysis</t>
  </si>
  <si>
    <t xml:space="preserve">Cost behaviour | Flexible budget | FP&amp;A | Graph</t>
  </si>
  <si>
    <t xml:space="preserve">The FP&amp;A team of a manufacturing plant uses regression to separate the fixed and variable elements of power cost. Eight months of data are below. For Month 9, the budget assumed 17,000 machine hours; actual activity was 19,000 hours and actual power cost was ₹13.90 lakh.</t>
  </si>
  <si>
    <t xml:space="preserve">(a)  Estimate the cost function (fixed cost + variable cost per '000 hours) and R².</t>
  </si>
  <si>
    <t xml:space="preserve">(b)  Graph task: plot the data with the fitted cost line and mark the Month 9 actual.</t>
  </si>
  <si>
    <t xml:space="preserve">(c)  Compute the static budget cost, flexible budget cost and actual cost for Month 9.</t>
  </si>
  <si>
    <t xml:space="preserve">(d)  Compute the volume variance and spending variance, and label each Favourable/Adverse.</t>
  </si>
  <si>
    <t xml:space="preserve">(e)  What should management investigate?</t>
  </si>
  <si>
    <t xml:space="preserve">Machine hours ('000)</t>
  </si>
  <si>
    <t xml:space="preserve">Power cost (₹ lakh)</t>
  </si>
  <si>
    <t xml:space="preserve">Budgeted activity, Month 9 ('000 hrs)</t>
  </si>
  <si>
    <t xml:space="preserve">Actual activity, Month 9 ('000 hrs)</t>
  </si>
  <si>
    <t xml:space="preserve">Actual power cost, Month 9 (₹ lakh)</t>
  </si>
  <si>
    <t xml:space="preserve">Rupees per lakh</t>
  </si>
  <si>
    <t xml:space="preserve">Variable cost per '000 hours (₹ lakh)</t>
  </si>
  <si>
    <t xml:space="preserve">Fixed cost per month (₹ lakh)</t>
  </si>
  <si>
    <t xml:space="preserve">Variable cost per machine hour (₹)</t>
  </si>
  <si>
    <t xml:space="preserve">Static budget cost (₹ lakh)</t>
  </si>
  <si>
    <t xml:space="preserve">Flexible budget cost (₹ lakh)</t>
  </si>
  <si>
    <t xml:space="preserve">Volume variance (₹ lakh)</t>
  </si>
  <si>
    <t xml:space="preserve">  — label</t>
  </si>
  <si>
    <t xml:space="preserve">Total variance (₹ lakh)</t>
  </si>
  <si>
    <t xml:space="preserve">Most of the overrun is explained by higher activity, which is not a cost-control failure. The genuine spending overrun of ₹0.67 lakh (5.0% of flexible budget) warrants investigation: tariff revisions, peak-hour consumption, machine inefficiency or idle running.</t>
  </si>
  <si>
    <t xml:space="preserve">Key answer: Cost = 4.17 + 0.477×MH; spending var ₹0.67 lakh (A)</t>
  </si>
  <si>
    <t xml:space="preserve">Case 4.8  |  ANOVA Table and Goodness of Fit</t>
  </si>
  <si>
    <t xml:space="preserve">ANOVA | F-test | Adjusted R²</t>
  </si>
  <si>
    <t xml:space="preserve">A credit analyst built a regression explaining a corporate bond spread (bps) using leverage and interest coverage for 60 issuers. The software output was partially lost; only the totals below survived.</t>
  </si>
  <si>
    <t xml:space="preserve">(a)  Reconstruct the full ANOVA table (SS, df, MS, F).</t>
  </si>
  <si>
    <t xml:space="preserve">(b)  Compute R², adjusted R² and the standard error of the regression.</t>
  </si>
  <si>
    <t xml:space="preserve">(c)  Test the overall significance of the model at 5% (F-critical ≈ 3.16).</t>
  </si>
  <si>
    <t xml:space="preserve">(d)  List three diagnostic checks before using the model for pricing.</t>
  </si>
  <si>
    <t xml:space="preserve">Observations</t>
  </si>
  <si>
    <t xml:space="preserve">Explanatory variables</t>
  </si>
  <si>
    <t xml:space="preserve">Total sum of squares</t>
  </si>
  <si>
    <t xml:space="preserve">Regression sum of squares</t>
  </si>
  <si>
    <t xml:space="preserve">Residual sum of squares</t>
  </si>
  <si>
    <t xml:space="preserve">df — regression</t>
  </si>
  <si>
    <t xml:space="preserve">df — residual</t>
  </si>
  <si>
    <t xml:space="preserve">df — total</t>
  </si>
  <si>
    <t xml:space="preserve">Mean square regression</t>
  </si>
  <si>
    <t xml:space="preserve">Mean square error</t>
  </si>
  <si>
    <t xml:space="preserve">F-critical</t>
  </si>
  <si>
    <t xml:space="preserve">Standard error of regression</t>
  </si>
  <si>
    <t xml:space="preserve">Conclusion</t>
  </si>
  <si>
    <t xml:space="preserve">F = 66.50 &gt; 3.16 → reject H₀ that both slopes are zero; the model is jointly significant and explains 70% of the variation in spreads.</t>
  </si>
  <si>
    <t xml:space="preserve">•  Multicollinearity — leverage and interest coverage are naturally correlated (check VIF).</t>
  </si>
  <si>
    <t xml:space="preserve">•  Heteroskedasticity — spread variance is usually larger for weaker credits (Breusch–Pagan / White test; use robust SEs).</t>
  </si>
  <si>
    <t xml:space="preserve">•  Outliers and influential observations (Cook’s distance), plus out-of-sample validation.</t>
  </si>
  <si>
    <t xml:space="preserve">Key answer: F 66.50; R² 0.70; adj R² 0.689</t>
  </si>
  <si>
    <t xml:space="preserve">Appendix — Formula Sheet &amp; Excel Functions</t>
  </si>
  <si>
    <t xml:space="preserve">STANDARD NORMAL CRITICAL VALUES (ONE-TAILED)</t>
  </si>
  <si>
    <t xml:space="preserve">Confidence</t>
  </si>
  <si>
    <t xml:space="preserve">z-value (formula)</t>
  </si>
  <si>
    <t xml:space="preserve">MODULE 1: VALUE AT RISK (VAR)</t>
  </si>
  <si>
    <t xml:space="preserve">MODULE 2: SENSITIVITY MEASURES</t>
  </si>
  <si>
    <t xml:space="preserve">MODULE 3: RISK-ADJUSTED RETURN ON CAPITAL (RAROC)</t>
  </si>
  <si>
    <t xml:space="preserve">MODULE 4: REGRESSION &amp; VARIANCE ANALYSIS</t>
  </si>
  <si>
    <t xml:space="preserve">EXCEL FUNCTIONS USED</t>
  </si>
  <si>
    <t xml:space="preserve">Function</t>
  </si>
  <si>
    <t xml:space="preserve">Purpose</t>
  </si>
  <si>
    <t xml:space="preserve">Example</t>
  </si>
  <si>
    <t xml:space="preserve">NORM.S.INV(p)</t>
  </si>
  <si>
    <t xml:space="preserve">z-value for a confidence level</t>
  </si>
  <si>
    <t xml:space="preserve">e.g. =NORM.S.INV(0.99) → 2.326</t>
  </si>
  <si>
    <t xml:space="preserve">NORM.S.DIST(z, TRUE/FALSE)</t>
  </si>
  <si>
    <t xml:space="preserve">N(d) in Black–Scholes / φ(z) for ES</t>
  </si>
  <si>
    <t xml:space="preserve">e.g. =NORM.S.DIST(1.96,FALSE)</t>
  </si>
  <si>
    <t xml:space="preserve">SMALL / PERCENTILE.EXC</t>
  </si>
  <si>
    <t xml:space="preserve">Historical VaR</t>
  </si>
  <si>
    <t xml:space="preserve">e.g. =-SMALL(Returns,5)</t>
  </si>
  <si>
    <t xml:space="preserve">BINOM.DIST</t>
  </si>
  <si>
    <t xml:space="preserve">Backtesting probability</t>
  </si>
  <si>
    <t xml:space="preserve">e.g. =1-BINOM.DIST(7,250,0.01,TRUE)</t>
  </si>
  <si>
    <t xml:space="preserve">PV / DURATION / MDURATION</t>
  </si>
  <si>
    <t xml:space="preserve">Bond price and duration</t>
  </si>
  <si>
    <t xml:space="preserve">e.g. =-PV(8%,5,7.5,100)</t>
  </si>
  <si>
    <t xml:space="preserve">SLOPE / INTERCEPT / RSQ / CORREL</t>
  </si>
  <si>
    <t xml:space="preserve">Simple regression</t>
  </si>
  <si>
    <t xml:space="preserve">e.g. =SLOPE(Stock,Nifty)</t>
  </si>
  <si>
    <t xml:space="preserve">LINEST</t>
  </si>
  <si>
    <t xml:space="preserve">Full regression statistics</t>
  </si>
  <si>
    <t xml:space="preserve">e.g. =LINEST(Y,X,TRUE,TRUE)</t>
  </si>
  <si>
    <t xml:space="preserve">T.DIST.2T / T.INV.2T / F.DIST.RT / F.INV.RT</t>
  </si>
  <si>
    <t xml:space="preserve">Significance tests</t>
  </si>
  <si>
    <t xml:space="preserve">e.g. =T.DIST.2T(4.43,36)</t>
  </si>
  <si>
    <t xml:space="preserve">VAR.S / STDEV.S / COVARIANCE.S</t>
  </si>
  <si>
    <t xml:space="preserve">Sample variance, σ, covariance</t>
  </si>
  <si>
    <t xml:space="preserve">e.g. =STDEV.S(Returns)*SQRT(12)</t>
  </si>
  <si>
    <t xml:space="preserve">SUMPRODUCT / MMULT</t>
  </si>
  <si>
    <t xml:space="preserve">e.g. =SUMPRODUCT(w, Σw)</t>
  </si>
  <si>
    <t xml:space="preserve">Answer Key — linked live to each case sheet (Faculty only)</t>
  </si>
  <si>
    <t xml:space="preserve">Answer</t>
  </si>
  <si>
    <t xml:space="preserve">10-day 99% VaR (₹ cr)</t>
  </si>
  <si>
    <t xml:space="preserve">99% ES (₹ cr)</t>
  </si>
  <si>
    <t xml:space="preserve">P(X ≥ 8)</t>
  </si>
  <si>
    <t xml:space="preserve">RAROC — Customer B</t>
  </si>
  <si>
    <t xml:space="preserve">Stress GNPA forecast (%)</t>
  </si>
  <si>
    <t xml:space="preserve">Equity share of risk</t>
  </si>
  <si>
    <t xml:space="preserve">Sharpe — Fund B</t>
  </si>
</sst>
</file>

<file path=xl/styles.xml><?xml version="1.0" encoding="utf-8"?>
<styleSheet xmlns="http://schemas.openxmlformats.org/spreadsheetml/2006/main">
  <numFmts count="17">
    <numFmt numFmtId="164" formatCode="General"/>
    <numFmt numFmtId="165" formatCode="#,##0.00;\(#,##0.00\);\-"/>
    <numFmt numFmtId="166" formatCode="0.0000;\(0.0000\);\-"/>
    <numFmt numFmtId="167" formatCode="#,##0;\(#,##0\);\-"/>
    <numFmt numFmtId="168" formatCode="0.00%;\(0.00%\);\-"/>
    <numFmt numFmtId="169" formatCode="0.000%"/>
    <numFmt numFmtId="170" formatCode="0.0%;\(0.0%\);\-"/>
    <numFmt numFmtId="171" formatCode="0.0000"/>
    <numFmt numFmtId="172" formatCode="#,##0.0000;\(#,##0.0000\);\-"/>
    <numFmt numFmtId="173" formatCode="0.0%"/>
    <numFmt numFmtId="174" formatCode="@"/>
    <numFmt numFmtId="175" formatCode="\+0.00%;\-0.00%"/>
    <numFmt numFmtId="176" formatCode="0%"/>
    <numFmt numFmtId="177" formatCode="\₹#,##0;&quot;(₹&quot;#,##0\);\-"/>
    <numFmt numFmtId="178" formatCode="0.00000"/>
    <numFmt numFmtId="179" formatCode="0.00E+00"/>
    <numFmt numFmtId="180" formatCode="0.000000"/>
  </numFmts>
  <fonts count="29">
    <font>
      <sz val="11"/>
      <color theme="1"/>
      <name val="Calibri"/>
      <family val="2"/>
      <charset val="1"/>
    </font>
    <font>
      <sz val="10"/>
      <name val="Arial"/>
      <family val="0"/>
    </font>
    <font>
      <sz val="10"/>
      <name val="Arial"/>
      <family val="0"/>
    </font>
    <font>
      <sz val="10"/>
      <name val="Arial"/>
      <family val="0"/>
    </font>
    <font>
      <b val="true"/>
      <sz val="12"/>
      <color rgb="FF1A7F8E"/>
      <name val="Arial"/>
      <family val="0"/>
      <charset val="1"/>
    </font>
    <font>
      <b val="true"/>
      <sz val="18"/>
      <color rgb="FF1F3864"/>
      <name val="Arial"/>
      <family val="0"/>
      <charset val="1"/>
    </font>
    <font>
      <sz val="11"/>
      <color rgb="FF595959"/>
      <name val="Arial"/>
      <family val="0"/>
      <charset val="1"/>
    </font>
    <font>
      <b val="true"/>
      <sz val="12"/>
      <color rgb="FFFFFFFF"/>
      <name val="Arial"/>
      <family val="0"/>
      <charset val="1"/>
    </font>
    <font>
      <i val="true"/>
      <sz val="9"/>
      <color rgb="FF595959"/>
      <name val="Arial"/>
      <family val="0"/>
      <charset val="1"/>
    </font>
    <font>
      <b val="true"/>
      <sz val="10"/>
      <color rgb="FF1A7F8E"/>
      <name val="Arial"/>
      <family val="0"/>
      <charset val="1"/>
    </font>
    <font>
      <sz val="10"/>
      <color rgb="FF0000FF"/>
      <name val="Arial"/>
      <family val="0"/>
      <charset val="1"/>
    </font>
    <font>
      <sz val="9"/>
      <color rgb="FF000000"/>
      <name val="Arial"/>
      <family val="0"/>
      <charset val="1"/>
    </font>
    <font>
      <sz val="10"/>
      <color rgb="FF000000"/>
      <name val="Arial"/>
      <family val="0"/>
      <charset val="1"/>
    </font>
    <font>
      <sz val="10"/>
      <color rgb="FF008000"/>
      <name val="Arial"/>
      <family val="0"/>
      <charset val="1"/>
    </font>
    <font>
      <b val="true"/>
      <sz val="10"/>
      <color rgb="FFFFFFFF"/>
      <name val="Arial"/>
      <family val="0"/>
      <charset val="1"/>
    </font>
    <font>
      <b val="true"/>
      <sz val="10"/>
      <color rgb="FF000000"/>
      <name val="Arial"/>
      <family val="0"/>
      <charset val="1"/>
    </font>
    <font>
      <u val="single"/>
      <sz val="10"/>
      <color rgb="FF0563C1"/>
      <name val="Arial"/>
      <family val="0"/>
      <charset val="1"/>
    </font>
    <font>
      <b val="true"/>
      <sz val="14"/>
      <color rgb="FF1F3864"/>
      <name val="Arial"/>
      <family val="0"/>
      <charset val="1"/>
    </font>
    <font>
      <sz val="9"/>
      <color rgb="FF0563C1"/>
      <name val="Arial"/>
      <family val="0"/>
      <charset val="1"/>
    </font>
    <font>
      <sz val="10"/>
      <color rgb="FF1F3864"/>
      <name val="Arial"/>
      <family val="0"/>
      <charset val="1"/>
    </font>
    <font>
      <i val="true"/>
      <sz val="10"/>
      <color rgb="FF595959"/>
      <name val="Arial"/>
      <family val="0"/>
      <charset val="1"/>
    </font>
    <font>
      <b val="true"/>
      <sz val="10"/>
      <color rgb="FF1F3864"/>
      <name val="Arial"/>
      <family val="0"/>
      <charset val="1"/>
    </font>
    <font>
      <sz val="10"/>
      <color rgb="FF1E6B3A"/>
      <name val="Arial"/>
      <family val="0"/>
      <charset val="1"/>
    </font>
    <font>
      <i val="true"/>
      <sz val="9"/>
      <color rgb="FF1A7F8E"/>
      <name val="Arial"/>
      <family val="0"/>
      <charset val="1"/>
    </font>
    <font>
      <b val="true"/>
      <sz val="10"/>
      <color rgb="FF1E6B3A"/>
      <name val="Arial"/>
      <family val="0"/>
      <charset val="1"/>
    </font>
    <font>
      <b val="true"/>
      <sz val="18"/>
      <color rgb="FF000000"/>
      <name val="Calibri"/>
      <family val="2"/>
    </font>
    <font>
      <sz val="10"/>
      <color rgb="FF000000"/>
      <name val="Calibri"/>
      <family val="2"/>
    </font>
    <font>
      <b val="true"/>
      <sz val="10"/>
      <color rgb="FF000000"/>
      <name val="Calibri"/>
      <family val="2"/>
    </font>
    <font>
      <sz val="10"/>
      <color rgb="FF0563C1"/>
      <name val="Arial"/>
      <family val="0"/>
      <charset val="1"/>
    </font>
  </fonts>
  <fills count="9">
    <fill>
      <patternFill patternType="none"/>
    </fill>
    <fill>
      <patternFill patternType="gray125"/>
    </fill>
    <fill>
      <patternFill patternType="solid">
        <fgColor rgb="FF1E6B3A"/>
        <bgColor rgb="FF008000"/>
      </patternFill>
    </fill>
    <fill>
      <patternFill patternType="solid">
        <fgColor rgb="FFEAF1F8"/>
        <bgColor rgb="FFEEF7F0"/>
      </patternFill>
    </fill>
    <fill>
      <patternFill patternType="solid">
        <fgColor rgb="FF1F3864"/>
        <bgColor rgb="FF333333"/>
      </patternFill>
    </fill>
    <fill>
      <patternFill patternType="solid">
        <fgColor rgb="FFF3F6FA"/>
        <bgColor rgb="FFF5F8FC"/>
      </patternFill>
    </fill>
    <fill>
      <patternFill patternType="solid">
        <fgColor rgb="FFF5F8FC"/>
        <bgColor rgb="FFF3F6FA"/>
      </patternFill>
    </fill>
    <fill>
      <patternFill patternType="solid">
        <fgColor rgb="FFEEF7F0"/>
        <bgColor rgb="FFF3F6FA"/>
      </patternFill>
    </fill>
    <fill>
      <patternFill patternType="solid">
        <fgColor rgb="FFFFF6DB"/>
        <bgColor rgb="FFEEF7F0"/>
      </patternFill>
    </fill>
  </fills>
  <borders count="5">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bottom style="medium">
        <color rgb="FF1A7F8E"/>
      </bottom>
      <diagonal/>
    </border>
    <border diagonalUp="false" diagonalDown="false">
      <left style="thin">
        <color rgb="FFBFBFBF"/>
      </left>
      <right/>
      <top style="thin">
        <color rgb="FFBFBFBF"/>
      </top>
      <bottom style="thin">
        <color rgb="FFBFBFBF"/>
      </bottom>
      <diagonal/>
    </border>
    <border diagonalUp="false" diagonalDown="false">
      <left/>
      <right/>
      <top/>
      <bottom style="medium">
        <color rgb="FF1E6B3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center" vertical="center" textRotation="0" wrapText="false" indent="0" shrinkToFit="false"/>
      <protection locked="true" hidden="false"/>
    </xf>
    <xf numFmtId="164" fontId="14" fillId="4" borderId="1" xfId="0" applyFont="true" applyBorder="true" applyAlignment="false" applyProtection="false">
      <alignment horizontal="general" vertical="bottom" textRotation="0" wrapText="false" indent="0" shrinkToFit="false"/>
      <protection locked="true" hidden="false"/>
    </xf>
    <xf numFmtId="164" fontId="15" fillId="5" borderId="1" xfId="0" applyFont="true" applyBorder="true" applyAlignment="false" applyProtection="false">
      <alignment horizontal="general" vertical="bottom" textRotation="0" wrapText="false" indent="0" shrinkToFit="false"/>
      <protection locked="true" hidden="false"/>
    </xf>
    <xf numFmtId="164" fontId="16" fillId="5" borderId="1" xfId="0" applyFont="true" applyBorder="tru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16"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5" fontId="13" fillId="0" borderId="1" xfId="0" applyFont="true" applyBorder="true" applyAlignment="false" applyProtection="false">
      <alignment horizontal="general" vertical="bottom" textRotation="0" wrapText="false" indent="0" shrinkToFit="false"/>
      <protection locked="true" hidden="false"/>
    </xf>
    <xf numFmtId="166" fontId="13" fillId="0" borderId="1" xfId="0" applyFont="true" applyBorder="true" applyAlignment="false" applyProtection="false">
      <alignment horizontal="general" vertical="bottom" textRotation="0" wrapText="false" indent="0" shrinkToFit="false"/>
      <protection locked="true" hidden="false"/>
    </xf>
    <xf numFmtId="167" fontId="13" fillId="0" borderId="1" xfId="0" applyFont="true" applyBorder="true" applyAlignment="false" applyProtection="false">
      <alignment horizontal="general" vertical="bottom" textRotation="0" wrapText="false" indent="0" shrinkToFit="false"/>
      <protection locked="true" hidden="false"/>
    </xf>
    <xf numFmtId="168" fontId="13" fillId="0" borderId="1" xfId="0" applyFont="true" applyBorder="true" applyAlignment="false" applyProtection="false">
      <alignment horizontal="general" vertical="bottom" textRotation="0" wrapText="false" indent="0" shrinkToFit="false"/>
      <protection locked="true" hidden="false"/>
    </xf>
    <xf numFmtId="169" fontId="13" fillId="0" borderId="1" xfId="0" applyFont="true" applyBorder="true" applyAlignment="false" applyProtection="false">
      <alignment horizontal="general" vertical="bottom" textRotation="0" wrapText="false" indent="0" shrinkToFit="false"/>
      <protection locked="true" hidden="false"/>
    </xf>
    <xf numFmtId="170" fontId="13" fillId="0" borderId="1"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9" fillId="0" borderId="2" xfId="0" applyFont="tru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14" fillId="4" borderId="1" xfId="0" applyFont="true" applyBorder="true" applyAlignment="true" applyProtection="false">
      <alignment horizontal="center" vertical="center" textRotation="0" wrapText="false" indent="0" shrinkToFit="false"/>
      <protection locked="true" hidden="false"/>
    </xf>
    <xf numFmtId="164" fontId="15" fillId="0" borderId="1" xfId="0" applyFont="true" applyBorder="true" applyAlignment="false" applyProtection="false">
      <alignment horizontal="general" vertical="bottom" textRotation="0" wrapText="false" indent="0" shrinkToFit="false"/>
      <protection locked="true" hidden="false"/>
    </xf>
    <xf numFmtId="164" fontId="19" fillId="0" borderId="3" xfId="0" applyFont="true" applyBorder="true" applyAlignment="false" applyProtection="false">
      <alignment horizontal="general" vertical="bottom" textRotation="0" wrapText="false" indent="0" shrinkToFit="false"/>
      <protection locked="true" hidden="false"/>
    </xf>
    <xf numFmtId="164" fontId="20" fillId="0" borderId="0" xfId="0" applyFont="true" applyBorder="true" applyAlignment="true" applyProtection="false">
      <alignment horizontal="general" vertical="top" textRotation="0" wrapText="true" indent="0" shrinkToFit="false"/>
      <protection locked="true" hidden="false"/>
    </xf>
    <xf numFmtId="164" fontId="21" fillId="0" borderId="0" xfId="0" applyFont="true" applyBorder="true" applyAlignment="true" applyProtection="false">
      <alignment horizontal="general" vertical="top" textRotation="0" wrapText="true" indent="0" shrinkToFit="false"/>
      <protection locked="true" hidden="false"/>
    </xf>
    <xf numFmtId="164" fontId="12" fillId="6" borderId="0" xfId="0" applyFont="true" applyBorder="true" applyAlignment="true" applyProtection="false">
      <alignment horizontal="general" vertical="top" textRotation="0" wrapText="tru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22" fillId="7" borderId="0" xfId="0" applyFont="true" applyBorder="true" applyAlignment="true" applyProtection="false">
      <alignment horizontal="general" vertical="top" textRotation="0" wrapText="tru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5" fontId="10" fillId="3" borderId="1" xfId="0" applyFont="true" applyBorder="true" applyAlignment="true" applyProtection="false">
      <alignment horizontal="right" vertical="center" textRotation="0" wrapText="false" indent="0" shrinkToFit="false"/>
      <protection locked="true" hidden="false"/>
    </xf>
    <xf numFmtId="168" fontId="10" fillId="3" borderId="1" xfId="0" applyFont="true" applyBorder="true" applyAlignment="true" applyProtection="false">
      <alignment horizontal="right" vertical="center" textRotation="0" wrapText="false" indent="0" shrinkToFit="false"/>
      <protection locked="true" hidden="false"/>
    </xf>
    <xf numFmtId="171" fontId="10" fillId="3" borderId="1" xfId="0" applyFont="true" applyBorder="true" applyAlignment="true" applyProtection="false">
      <alignment horizontal="right" vertical="center" textRotation="0" wrapText="false" indent="0" shrinkToFit="false"/>
      <protection locked="true" hidden="false"/>
    </xf>
    <xf numFmtId="167" fontId="10" fillId="3" borderId="1" xfId="0" applyFont="true" applyBorder="true" applyAlignment="true" applyProtection="false">
      <alignment horizontal="right" vertical="center" textRotation="0" wrapText="false" indent="0" shrinkToFit="false"/>
      <protection locked="true" hidden="false"/>
    </xf>
    <xf numFmtId="164" fontId="24" fillId="0" borderId="4" xfId="0" applyFont="tru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72" fontId="12" fillId="0" borderId="1" xfId="0" applyFont="true" applyBorder="true" applyAlignment="true" applyProtection="false">
      <alignment horizontal="right" vertical="center" textRotation="0" wrapText="false" indent="0" shrinkToFit="false"/>
      <protection locked="true" hidden="false"/>
    </xf>
    <xf numFmtId="168" fontId="12" fillId="0" borderId="1" xfId="0" applyFont="true" applyBorder="true" applyAlignment="true" applyProtection="false">
      <alignment horizontal="right" vertical="center" textRotation="0" wrapText="false" indent="0" shrinkToFit="false"/>
      <protection locked="true" hidden="false"/>
    </xf>
    <xf numFmtId="164" fontId="12" fillId="7" borderId="0" xfId="0" applyFont="true" applyBorder="true" applyAlignment="true" applyProtection="false">
      <alignment horizontal="general" vertical="top" textRotation="0" wrapText="true" indent="0" shrinkToFit="false"/>
      <protection locked="true" hidden="false"/>
    </xf>
    <xf numFmtId="164" fontId="21" fillId="8" borderId="0" xfId="0" applyFont="true" applyBorder="true" applyAlignment="true" applyProtection="false">
      <alignment horizontal="general" vertical="top" textRotation="0" wrapText="true" indent="0" shrinkToFit="false"/>
      <protection locked="true" hidden="false"/>
    </xf>
    <xf numFmtId="172" fontId="15" fillId="0" borderId="1" xfId="0" applyFont="true" applyBorder="true" applyAlignment="true" applyProtection="false">
      <alignment horizontal="right" vertical="center" textRotation="0" wrapText="false" indent="0" shrinkToFit="false"/>
      <protection locked="true" hidden="false"/>
    </xf>
    <xf numFmtId="164" fontId="12" fillId="0" borderId="1" xfId="0" applyFont="true" applyBorder="true" applyAlignment="true" applyProtection="false">
      <alignment horizontal="left" vertical="center" textRotation="0" wrapText="false" indent="0" shrinkToFit="false"/>
      <protection locked="true" hidden="false"/>
    </xf>
    <xf numFmtId="168" fontId="10" fillId="3"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left" vertical="center" textRotation="0" wrapText="false" indent="0" shrinkToFit="false"/>
      <protection locked="true" hidden="false"/>
    </xf>
    <xf numFmtId="165" fontId="10" fillId="3" borderId="1" xfId="0" applyFont="true" applyBorder="true" applyAlignment="false" applyProtection="false">
      <alignment horizontal="general" vertical="bottom" textRotation="0" wrapText="false" indent="0" shrinkToFit="false"/>
      <protection locked="true" hidden="false"/>
    </xf>
    <xf numFmtId="165" fontId="12" fillId="0" borderId="1" xfId="0" applyFont="true" applyBorder="true" applyAlignment="true" applyProtection="false">
      <alignment horizontal="right" vertical="center" textRotation="0" wrapText="false" indent="0" shrinkToFit="false"/>
      <protection locked="true" hidden="false"/>
    </xf>
    <xf numFmtId="171" fontId="12" fillId="0" borderId="1" xfId="0" applyFont="true" applyBorder="true" applyAlignment="true" applyProtection="false">
      <alignment horizontal="right" vertical="center" textRotation="0" wrapText="false" indent="0" shrinkToFit="false"/>
      <protection locked="true" hidden="false"/>
    </xf>
    <xf numFmtId="174" fontId="12" fillId="0" borderId="1" xfId="0" applyFont="true" applyBorder="true" applyAlignment="true" applyProtection="false">
      <alignment horizontal="right" vertical="center" textRotation="0" wrapText="false" indent="0" shrinkToFit="false"/>
      <protection locked="true" hidden="false"/>
    </xf>
    <xf numFmtId="170" fontId="10" fillId="3" borderId="1" xfId="0" applyFont="true" applyBorder="true" applyAlignment="true" applyProtection="false">
      <alignment horizontal="right" vertical="center" textRotation="0" wrapText="false" indent="0" shrinkToFit="false"/>
      <protection locked="true" hidden="false"/>
    </xf>
    <xf numFmtId="166" fontId="12" fillId="0" borderId="1" xfId="0" applyFont="true" applyBorder="true" applyAlignment="true" applyProtection="false">
      <alignment horizontal="right" vertical="center" textRotation="0" wrapText="false" indent="0" shrinkToFit="false"/>
      <protection locked="true" hidden="false"/>
    </xf>
    <xf numFmtId="166" fontId="15" fillId="0" borderId="1" xfId="0" applyFont="true" applyBorder="true" applyAlignment="true" applyProtection="false">
      <alignment horizontal="right" vertical="center" textRotation="0" wrapText="false" indent="0" shrinkToFit="false"/>
      <protection locked="true" hidden="false"/>
    </xf>
    <xf numFmtId="175" fontId="10" fillId="3" borderId="1" xfId="0" applyFont="true" applyBorder="true" applyAlignment="true" applyProtection="false">
      <alignment horizontal="left" vertical="center" textRotation="0" wrapText="false" indent="0" shrinkToFit="false"/>
      <protection locked="true" hidden="false"/>
    </xf>
    <xf numFmtId="177" fontId="12" fillId="0" borderId="1" xfId="0" applyFont="true" applyBorder="true" applyAlignment="true" applyProtection="false">
      <alignment horizontal="right" vertical="center" textRotation="0" wrapText="false" indent="0" shrinkToFit="false"/>
      <protection locked="true" hidden="false"/>
    </xf>
    <xf numFmtId="167" fontId="15" fillId="0" borderId="1" xfId="0" applyFont="true" applyBorder="true" applyAlignment="true" applyProtection="false">
      <alignment horizontal="right" vertical="center" textRotation="0" wrapText="false" indent="0" shrinkToFit="false"/>
      <protection locked="true" hidden="false"/>
    </xf>
    <xf numFmtId="165" fontId="15" fillId="0" borderId="1" xfId="0" applyFont="true" applyBorder="true" applyAlignment="true" applyProtection="false">
      <alignment horizontal="right" vertical="center" textRotation="0" wrapText="false" indent="0" shrinkToFit="false"/>
      <protection locked="true" hidden="false"/>
    </xf>
    <xf numFmtId="178" fontId="15" fillId="0" borderId="1" xfId="0" applyFont="true" applyBorder="true" applyAlignment="true" applyProtection="false">
      <alignment horizontal="right" vertical="center" textRotation="0" wrapText="false" indent="0" shrinkToFit="false"/>
      <protection locked="true" hidden="false"/>
    </xf>
    <xf numFmtId="166" fontId="10" fillId="3" borderId="1" xfId="0" applyFont="true" applyBorder="true" applyAlignment="true" applyProtection="false">
      <alignment horizontal="right" vertical="center" textRotation="0" wrapText="false" indent="0" shrinkToFit="false"/>
      <protection locked="true" hidden="false"/>
    </xf>
    <xf numFmtId="167" fontId="12" fillId="0" borderId="1" xfId="0" applyFont="true" applyBorder="true" applyAlignment="true" applyProtection="false">
      <alignment horizontal="right" vertical="center" textRotation="0" wrapText="false" indent="0" shrinkToFit="false"/>
      <protection locked="true" hidden="false"/>
    </xf>
    <xf numFmtId="170" fontId="12" fillId="0" borderId="1" xfId="0" applyFont="true" applyBorder="true" applyAlignment="true" applyProtection="false">
      <alignment horizontal="right" vertical="center" textRotation="0" wrapText="false" indent="0" shrinkToFit="false"/>
      <protection locked="true" hidden="false"/>
    </xf>
    <xf numFmtId="168" fontId="15" fillId="0" borderId="1" xfId="0" applyFont="true" applyBorder="true" applyAlignment="true" applyProtection="false">
      <alignment horizontal="right" vertical="center" textRotation="0" wrapText="false" indent="0" shrinkToFit="false"/>
      <protection locked="true" hidden="false"/>
    </xf>
    <xf numFmtId="169" fontId="15" fillId="0" borderId="1" xfId="0" applyFont="true" applyBorder="true" applyAlignment="true" applyProtection="false">
      <alignment horizontal="right" vertical="center" textRotation="0" wrapText="false" indent="0" shrinkToFit="false"/>
      <protection locked="true" hidden="false"/>
    </xf>
    <xf numFmtId="169" fontId="12" fillId="0" borderId="1" xfId="0" applyFont="true" applyBorder="true" applyAlignment="true" applyProtection="false">
      <alignment horizontal="right" vertical="center" textRotation="0" wrapText="false" indent="0" shrinkToFit="false"/>
      <protection locked="true" hidden="false"/>
    </xf>
    <xf numFmtId="167" fontId="10" fillId="3" borderId="1" xfId="0" applyFont="true" applyBorder="true" applyAlignment="false" applyProtection="false">
      <alignment horizontal="general" vertical="bottom" textRotation="0" wrapText="false" indent="0" shrinkToFit="false"/>
      <protection locked="true" hidden="false"/>
    </xf>
    <xf numFmtId="179" fontId="12" fillId="0" borderId="1" xfId="0" applyFont="true" applyBorder="true" applyAlignment="true" applyProtection="false">
      <alignment horizontal="right" vertical="center" textRotation="0" wrapText="false" indent="0" shrinkToFit="false"/>
      <protection locked="true" hidden="false"/>
    </xf>
    <xf numFmtId="170" fontId="10" fillId="3" borderId="1" xfId="0" applyFont="true" applyBorder="true" applyAlignment="false" applyProtection="false">
      <alignment horizontal="general" vertical="bottom" textRotation="0" wrapText="false" indent="0" shrinkToFit="false"/>
      <protection locked="true" hidden="false"/>
    </xf>
    <xf numFmtId="178" fontId="12" fillId="0" borderId="1" xfId="0" applyFont="true" applyBorder="true" applyAlignment="true" applyProtection="false">
      <alignment horizontal="right" vertical="center" textRotation="0" wrapText="false" indent="0" shrinkToFit="false"/>
      <protection locked="true" hidden="false"/>
    </xf>
    <xf numFmtId="180" fontId="12" fillId="0" borderId="1" xfId="0" applyFont="true" applyBorder="true" applyAlignment="true" applyProtection="false">
      <alignment horizontal="right" vertical="center" textRotation="0" wrapText="false" indent="0" shrinkToFit="false"/>
      <protection locked="true" hidden="false"/>
    </xf>
    <xf numFmtId="170" fontId="15" fillId="0" borderId="1" xfId="0" applyFont="true" applyBorder="true" applyAlignment="true" applyProtection="false">
      <alignment horizontal="right" vertical="center" textRotation="0" wrapText="false" indent="0" shrinkToFit="false"/>
      <protection locked="true" hidden="false"/>
    </xf>
    <xf numFmtId="173" fontId="10" fillId="0" borderId="1" xfId="0" applyFont="true" applyBorder="true" applyAlignment="true" applyProtection="false">
      <alignment horizontal="left" vertical="center" textRotation="0" wrapText="false" indent="0" shrinkToFit="false"/>
      <protection locked="true" hidden="false"/>
    </xf>
    <xf numFmtId="171" fontId="12" fillId="0" borderId="1" xfId="0" applyFont="true" applyBorder="true" applyAlignment="true" applyProtection="false">
      <alignment horizontal="left" vertical="center"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4" fontId="28" fillId="0" borderId="1" xfId="0" applyFont="true" applyBorder="true" applyAlignment="false" applyProtection="false">
      <alignment horizontal="general" vertical="bottom" textRotation="0" wrapText="false" indent="0" shrinkToFit="false"/>
      <protection locked="true" hidden="false"/>
    </xf>
    <xf numFmtId="171" fontId="13"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A7F8E"/>
      <rgbColor rgb="FFBFBFBF"/>
      <rgbColor rgb="FF878787"/>
      <rgbColor rgb="FF9999FF"/>
      <rgbColor rgb="FFC0504D"/>
      <rgbColor rgb="FFFFF6DB"/>
      <rgbColor rgb="FFEAF1F8"/>
      <rgbColor rgb="FF660066"/>
      <rgbColor rgb="FFFF8080"/>
      <rgbColor rgb="FF0563C1"/>
      <rgbColor rgb="FFD9D9D9"/>
      <rgbColor rgb="FF000080"/>
      <rgbColor rgb="FFFF00FF"/>
      <rgbColor rgb="FFFFFF00"/>
      <rgbColor rgb="FF00FFFF"/>
      <rgbColor rgb="FF800080"/>
      <rgbColor rgb="FF800000"/>
      <rgbColor rgb="FF1E6B3A"/>
      <rgbColor rgb="FF0000FF"/>
      <rgbColor rgb="FF00CCFF"/>
      <rgbColor rgb="FFEEF7F0"/>
      <rgbColor rgb="FFF3F6FA"/>
      <rgbColor rgb="FFF5F8FC"/>
      <rgbColor rgb="FF99CCFF"/>
      <rgbColor rgb="FFFF99CC"/>
      <rgbColor rgb="FFCC99FF"/>
      <rgbColor rgb="FFFFCC99"/>
      <rgbColor rgb="FF4F81BD"/>
      <rgbColor rgb="FF33CCCC"/>
      <rgbColor rgb="FF9BBB59"/>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15 worst daily returns (VaR cut-off = rank 5)</a:t>
            </a:r>
          </a:p>
        </c:rich>
      </c:tx>
      <c:overlay val="0"/>
      <c:spPr>
        <a:noFill/>
        <a:ln w="0">
          <a:noFill/>
        </a:ln>
      </c:spPr>
    </c:title>
    <c:autoTitleDeleted val="0"/>
    <c:plotArea>
      <c:barChart>
        <c:barDir val="col"/>
        <c:grouping val="clustered"/>
        <c:varyColors val="0"/>
        <c:ser>
          <c:idx val="0"/>
          <c:order val="0"/>
          <c:tx>
            <c:strRef>
              <c:f>'1.3 Historical VaR &amp; ES'!C22</c:f>
              <c:strCache>
                <c:ptCount val="1"/>
                <c:pt idx="0">
                  <c:v>Daily return</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'1.3 Historical VaR &amp; ES'!$B$23:$B$37</c:f>
              <c:strCach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strCache>
            </c:strRef>
          </c:cat>
          <c:val>
            <c:numRef>
              <c:f>'1.3 Historical VaR &amp; ES'!$C$23:$C$37</c:f>
              <c:numCache>
                <c:formatCode>0.00%;\(0.00%\);\-</c:formatCode>
                <c:ptCount val="15"/>
                <c:pt idx="0">
                  <c:v>-0.0685</c:v>
                </c:pt>
                <c:pt idx="1">
                  <c:v>-0.0592</c:v>
                </c:pt>
                <c:pt idx="2">
                  <c:v>-0.051</c:v>
                </c:pt>
                <c:pt idx="3">
                  <c:v>-0.0478</c:v>
                </c:pt>
                <c:pt idx="4">
                  <c:v>-0.0441</c:v>
                </c:pt>
                <c:pt idx="5">
                  <c:v>-0.0405</c:v>
                </c:pt>
                <c:pt idx="6">
                  <c:v>-0.0388</c:v>
                </c:pt>
                <c:pt idx="7">
                  <c:v>-0.0362</c:v>
                </c:pt>
                <c:pt idx="8">
                  <c:v>-0.0345</c:v>
                </c:pt>
                <c:pt idx="9">
                  <c:v>-0.0331</c:v>
                </c:pt>
                <c:pt idx="10">
                  <c:v>-0.032</c:v>
                </c:pt>
                <c:pt idx="11">
                  <c:v>-0.0312</c:v>
                </c:pt>
                <c:pt idx="12">
                  <c:v>-0.0302</c:v>
                </c:pt>
                <c:pt idx="13">
                  <c:v>-0.0295</c:v>
                </c:pt>
                <c:pt idx="14">
                  <c:v>-0.0288</c:v>
                </c:pt>
              </c:numCache>
            </c:numRef>
          </c:val>
        </c:ser>
        <c:gapWidth val="150"/>
        <c:overlap val="0"/>
        <c:axId val="75407954"/>
        <c:axId val="59205754"/>
      </c:barChart>
      <c:catAx>
        <c:axId val="75407954"/>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Rank</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9205754"/>
        <c:crosses val="autoZero"/>
        <c:auto val="1"/>
        <c:lblAlgn val="ctr"/>
        <c:lblOffset val="100"/>
        <c:noMultiLvlLbl val="0"/>
      </c:catAx>
      <c:valAx>
        <c:axId val="5920575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Return</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540795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Duration vs convexity-adjusted vs actual</a:t>
            </a:r>
          </a:p>
        </c:rich>
      </c:tx>
      <c:overlay val="0"/>
      <c:spPr>
        <a:noFill/>
        <a:ln w="0">
          <a:noFill/>
        </a:ln>
      </c:spPr>
    </c:title>
    <c:autoTitleDeleted val="0"/>
    <c:plotArea>
      <c:barChart>
        <c:barDir val="col"/>
        <c:grouping val="clustered"/>
        <c:varyColors val="0"/>
        <c:ser>
          <c:idx val="0"/>
          <c:order val="0"/>
          <c:tx>
            <c:strRef>
              <c:f>'2.2 Convexity'!C38</c:f>
              <c:strCache>
                <c:ptCount val="1"/>
                <c:pt idx="0">
                  <c:v>Duration only</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'2.2 Convexity'!$B$39:$B$42</c:f>
              <c:strCache>
                <c:ptCount val="4"/>
                <c:pt idx="0">
                  <c:v>-2.00%</c:v>
                </c:pt>
                <c:pt idx="1">
                  <c:v>-1.00%</c:v>
                </c:pt>
                <c:pt idx="2">
                  <c:v>+1.00%</c:v>
                </c:pt>
                <c:pt idx="3">
                  <c:v>+2.00%</c:v>
                </c:pt>
              </c:strCache>
            </c:strRef>
          </c:cat>
          <c:val>
            <c:numRef>
              <c:f>'2.2 Convexity'!$C$39:$C$42</c:f>
              <c:numCache>
                <c:formatCode>0.00%;\(0.00%\);\-</c:formatCode>
                <c:ptCount val="4"/>
                <c:pt idx="0">
                  <c:v>0.13918211307942</c:v>
                </c:pt>
                <c:pt idx="1">
                  <c:v>0.0695910565397099</c:v>
                </c:pt>
                <c:pt idx="2">
                  <c:v>-0.0695910565397099</c:v>
                </c:pt>
                <c:pt idx="3">
                  <c:v>-0.13918211307942</c:v>
                </c:pt>
              </c:numCache>
            </c:numRef>
          </c:val>
        </c:ser>
        <c:ser>
          <c:idx val="1"/>
          <c:order val="1"/>
          <c:tx>
            <c:strRef>
              <c:f>'2.2 Convexity'!D38</c:f>
              <c:strCache>
                <c:ptCount val="1"/>
                <c:pt idx="0">
                  <c:v>Duration + convexity</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'2.2 Convexity'!$B$39:$B$42</c:f>
              <c:strCache>
                <c:ptCount val="4"/>
                <c:pt idx="0">
                  <c:v>-2.00%</c:v>
                </c:pt>
                <c:pt idx="1">
                  <c:v>-1.00%</c:v>
                </c:pt>
                <c:pt idx="2">
                  <c:v>+1.00%</c:v>
                </c:pt>
                <c:pt idx="3">
                  <c:v>+2.00%</c:v>
                </c:pt>
              </c:strCache>
            </c:strRef>
          </c:cat>
          <c:val>
            <c:numRef>
              <c:f>'2.2 Convexity'!$D$39:$D$42</c:f>
              <c:numCache>
                <c:formatCode>0.00%;\(0.00%\);\-</c:formatCode>
                <c:ptCount val="4"/>
                <c:pt idx="0">
                  <c:v>0.151986411026746</c:v>
                </c:pt>
                <c:pt idx="1">
                  <c:v>0.0727921310265415</c:v>
                </c:pt>
                <c:pt idx="2">
                  <c:v>-0.0663899820528784</c:v>
                </c:pt>
                <c:pt idx="3">
                  <c:v>-0.126377815132094</c:v>
                </c:pt>
              </c:numCache>
            </c:numRef>
          </c:val>
        </c:ser>
        <c:ser>
          <c:idx val="2"/>
          <c:order val="2"/>
          <c:tx>
            <c:strRef>
              <c:f>'2.2 Convexity'!E38</c:f>
              <c:strCache>
                <c:ptCount val="1"/>
                <c:pt idx="0">
                  <c:v>Actual (repricing)</c:v>
                </c:pt>
              </c:strCache>
            </c:strRef>
          </c:tx>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'2.2 Convexity'!$B$39:$B$42</c:f>
              <c:strCache>
                <c:ptCount val="4"/>
                <c:pt idx="0">
                  <c:v>-2.00%</c:v>
                </c:pt>
                <c:pt idx="1">
                  <c:v>-1.00%</c:v>
                </c:pt>
                <c:pt idx="2">
                  <c:v>+1.00%</c:v>
                </c:pt>
                <c:pt idx="3">
                  <c:v>+2.00%</c:v>
                </c:pt>
              </c:strCache>
            </c:strRef>
          </c:cat>
          <c:val>
            <c:numRef>
              <c:f>'2.2 Convexity'!$E$39:$E$42</c:f>
              <c:numCache>
                <c:formatCode>0.00%;\(0.00%\);\-</c:formatCode>
                <c:ptCount val="4"/>
                <c:pt idx="0">
                  <c:v>0.152945675241247</c:v>
                </c:pt>
                <c:pt idx="1">
                  <c:v>0.072908461363886</c:v>
                </c:pt>
                <c:pt idx="2">
                  <c:v>-0.0664996887010658</c:v>
                </c:pt>
                <c:pt idx="3">
                  <c:v>-0.127230913726216</c:v>
                </c:pt>
              </c:numCache>
            </c:numRef>
          </c:val>
        </c:ser>
        <c:gapWidth val="150"/>
        <c:overlap val="0"/>
        <c:axId val="93160155"/>
        <c:axId val="26744808"/>
      </c:barChart>
      <c:catAx>
        <c:axId val="93160155"/>
        <c:scaling>
          <c:orientation val="minMax"/>
        </c:scaling>
        <c:delete val="0"/>
        <c:axPos val="b"/>
        <c:numFmt formatCode="\+0.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6744808"/>
        <c:crosses val="autoZero"/>
        <c:auto val="1"/>
        <c:lblAlgn val="ctr"/>
        <c:lblOffset val="100"/>
        <c:noMultiLvlLbl val="0"/>
      </c:catAx>
      <c:valAx>
        <c:axId val="2674480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price change</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316015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RAROC by business unit vs 15% hurdle</a:t>
            </a:r>
          </a:p>
        </c:rich>
      </c:tx>
      <c:overlay val="0"/>
      <c:spPr>
        <a:noFill/>
        <a:ln w="0">
          <a:noFill/>
        </a:ln>
      </c:spPr>
    </c:title>
    <c:autoTitleDeleted val="0"/>
    <c:plotArea>
      <c:barChart>
        <c:barDir val="col"/>
        <c:grouping val="clustered"/>
        <c:varyColors val="0"/>
        <c:ser>
          <c:idx val="0"/>
          <c:order val="0"/>
          <c:tx>
            <c:strRef>
              <c:f>'3.7 Capital Allocation'!C28</c:f>
              <c:strCache>
                <c:ptCount val="1"/>
                <c:pt idx="0">
                  <c:v>RAROC stand-alone</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 Capital Allocation'!$B$29:$B$31</c:f>
              <c:strCache>
                <c:ptCount val="3"/>
                <c:pt idx="0">
                  <c:v>Retail Banking</c:v>
                </c:pt>
                <c:pt idx="1">
                  <c:v>Corporate Banking</c:v>
                </c:pt>
                <c:pt idx="2">
                  <c:v>Treasury</c:v>
                </c:pt>
              </c:strCache>
            </c:strRef>
          </c:cat>
          <c:val>
            <c:numRef>
              <c:f>'3.7 Capital Allocation'!$C$29:$C$31</c:f>
              <c:numCache>
                <c:formatCode>0.00%;\(0.00%\);\-</c:formatCode>
                <c:ptCount val="3"/>
                <c:pt idx="0">
                  <c:v>0.175</c:v>
                </c:pt>
                <c:pt idx="1">
                  <c:v>0.141666666666667</c:v>
                </c:pt>
                <c:pt idx="2">
                  <c:v>0.166666666666667</c:v>
                </c:pt>
              </c:numCache>
            </c:numRef>
          </c:val>
        </c:ser>
        <c:ser>
          <c:idx val="1"/>
          <c:order val="1"/>
          <c:tx>
            <c:strRef>
              <c:f>'3.7 Capital Allocation'!E28</c:f>
              <c:strCache>
                <c:ptCount val="1"/>
                <c:pt idx="0">
                  <c:v>RAROC diversified</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 Capital Allocation'!$B$29:$B$31</c:f>
              <c:strCache>
                <c:ptCount val="3"/>
                <c:pt idx="0">
                  <c:v>Retail Banking</c:v>
                </c:pt>
                <c:pt idx="1">
                  <c:v>Corporate Banking</c:v>
                </c:pt>
                <c:pt idx="2">
                  <c:v>Treasury</c:v>
                </c:pt>
              </c:strCache>
            </c:strRef>
          </c:cat>
          <c:val>
            <c:numRef>
              <c:f>'3.7 Capital Allocation'!$E$29:$E$31</c:f>
              <c:numCache>
                <c:formatCode>0.00%;\(0.00%\);\-</c:formatCode>
                <c:ptCount val="3"/>
                <c:pt idx="0">
                  <c:v>0.2275</c:v>
                </c:pt>
                <c:pt idx="1">
                  <c:v>0.184166666666667</c:v>
                </c:pt>
                <c:pt idx="2">
                  <c:v>0.216666666666667</c:v>
                </c:pt>
              </c:numCache>
            </c:numRef>
          </c:val>
        </c:ser>
        <c:ser>
          <c:idx val="2"/>
          <c:order val="2"/>
          <c:tx>
            <c:strRef>
              <c:f>'3.7 Capital Allocation'!F28</c:f>
              <c:strCache>
                <c:ptCount val="1"/>
                <c:pt idx="0">
                  <c:v>Hurdle</c:v>
                </c:pt>
              </c:strCache>
            </c:strRef>
          </c:tx>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 Capital Allocation'!$B$29:$B$31</c:f>
              <c:strCache>
                <c:ptCount val="3"/>
                <c:pt idx="0">
                  <c:v>Retail Banking</c:v>
                </c:pt>
                <c:pt idx="1">
                  <c:v>Corporate Banking</c:v>
                </c:pt>
                <c:pt idx="2">
                  <c:v>Treasury</c:v>
                </c:pt>
              </c:strCache>
            </c:strRef>
          </c:cat>
          <c:val>
            <c:numRef>
              <c:f>'3.7 Capital Allocation'!$F$29:$F$31</c:f>
              <c:numCache>
                <c:formatCode>0.00%;\(0.00%\);\-</c:formatCode>
                <c:ptCount val="3"/>
                <c:pt idx="0">
                  <c:v>0.15</c:v>
                </c:pt>
                <c:pt idx="1">
                  <c:v>0.15</c:v>
                </c:pt>
                <c:pt idx="2">
                  <c:v>0.15</c:v>
                </c:pt>
              </c:numCache>
            </c:numRef>
          </c:val>
        </c:ser>
        <c:gapWidth val="150"/>
        <c:overlap val="0"/>
        <c:axId val="29509479"/>
        <c:axId val="54544384"/>
      </c:barChart>
      <c:catAx>
        <c:axId val="2950947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4544384"/>
        <c:crosses val="autoZero"/>
        <c:auto val="1"/>
        <c:lblAlgn val="ctr"/>
        <c:lblOffset val="100"/>
        <c:noMultiLvlLbl val="0"/>
      </c:catAx>
      <c:valAx>
        <c:axId val="54544384"/>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950947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Characteristic line: Stock vs Nifty</a:t>
            </a:r>
          </a:p>
        </c:rich>
      </c:tx>
      <c:overlay val="0"/>
      <c:spPr>
        <a:noFill/>
        <a:ln w="0">
          <a:noFill/>
        </a:ln>
      </c:spPr>
    </c:title>
    <c:autoTitleDeleted val="0"/>
    <c:plotArea>
      <c:scatterChart>
        <c:scatterStyle val="lineMarker"/>
        <c:varyColors val="0"/>
        <c:ser>
          <c:idx val="0"/>
          <c:order val="0"/>
          <c:tx>
            <c:strRef>
              <c:f>"Monthly returns"</c:f>
              <c:strCache>
                <c:ptCount val="1"/>
                <c:pt idx="0">
                  <c:v>Monthly returns</c:v>
                </c:pt>
              </c:strCache>
            </c:strRef>
          </c:tx>
          <c:spPr>
            <a:solidFill>
              <a:srgbClr val="ffffff"/>
            </a:solidFill>
            <a:ln w="47520">
              <a:noFill/>
            </a:ln>
          </c:spPr>
          <c:marker>
            <c:symbol val="circle"/>
            <c:size val="5"/>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trendline>
            <c:spPr>
              <a:ln w="9360">
                <a:solidFill>
                  <a:srgbClr val="000000"/>
                </a:solidFill>
                <a:round/>
              </a:ln>
            </c:spPr>
            <c:trendlineType val="linear"/>
            <c:forward val="0"/>
            <c:backward val="0"/>
            <c:dispRSqr val="1"/>
            <c:dispEq val="1"/>
          </c:trendline>
          <c:xVal>
            <c:numRef>
              <c:f>'4.1 Beta Regression'!$C$16:$C$27</c:f>
              <c:numCache>
                <c:formatCode>#,##0.00;\(#,##0.00\);\-</c:formatCode>
                <c:ptCount val="12"/>
                <c:pt idx="0">
                  <c:v>2.1</c:v>
                </c:pt>
                <c:pt idx="1">
                  <c:v>-1.5</c:v>
                </c:pt>
                <c:pt idx="2">
                  <c:v>3.4</c:v>
                </c:pt>
                <c:pt idx="3">
                  <c:v>0.8</c:v>
                </c:pt>
                <c:pt idx="4">
                  <c:v>-2.7</c:v>
                </c:pt>
                <c:pt idx="5">
                  <c:v>1.9</c:v>
                </c:pt>
                <c:pt idx="6">
                  <c:v>4.2</c:v>
                </c:pt>
                <c:pt idx="7">
                  <c:v>-0.6</c:v>
                </c:pt>
                <c:pt idx="8">
                  <c:v>1.1</c:v>
                </c:pt>
                <c:pt idx="9">
                  <c:v>-3.3</c:v>
                </c:pt>
                <c:pt idx="10">
                  <c:v>2.6</c:v>
                </c:pt>
                <c:pt idx="11">
                  <c:v>0.5</c:v>
                </c:pt>
              </c:numCache>
            </c:numRef>
          </c:xVal>
          <c:yVal>
            <c:numRef>
              <c:f>'4.1 Beta Regression'!$D$16:$D$27</c:f>
              <c:numCache>
                <c:formatCode>#,##0.00;\(#,##0.00\);\-</c:formatCode>
                <c:ptCount val="12"/>
                <c:pt idx="0">
                  <c:v>3.6</c:v>
                </c:pt>
                <c:pt idx="1">
                  <c:v>-1.2</c:v>
                </c:pt>
                <c:pt idx="2">
                  <c:v>3.5</c:v>
                </c:pt>
                <c:pt idx="3">
                  <c:v>1.9</c:v>
                </c:pt>
                <c:pt idx="4">
                  <c:v>-2.6</c:v>
                </c:pt>
                <c:pt idx="5">
                  <c:v>1.4</c:v>
                </c:pt>
                <c:pt idx="6">
                  <c:v>6.3</c:v>
                </c:pt>
                <c:pt idx="7">
                  <c:v>0.4</c:v>
                </c:pt>
                <c:pt idx="8">
                  <c:v>0.2</c:v>
                </c:pt>
                <c:pt idx="9">
                  <c:v>-5.3</c:v>
                </c:pt>
                <c:pt idx="10">
                  <c:v>4.4</c:v>
                </c:pt>
                <c:pt idx="11">
                  <c:v>-0.8</c:v>
                </c:pt>
              </c:numCache>
            </c:numRef>
          </c:yVal>
          <c:smooth val="1"/>
        </c:ser>
        <c:axId val="81303672"/>
        <c:axId val="88635301"/>
      </c:scatterChart>
      <c:valAx>
        <c:axId val="81303672"/>
        <c:scaling>
          <c:orientation val="minMax"/>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Nifty return (%)</a:t>
                </a:r>
              </a:p>
            </c:rich>
          </c:tx>
          <c:overlay val="0"/>
          <c:spPr>
            <a:noFill/>
            <a:ln w="0">
              <a:noFill/>
            </a:ln>
          </c:spPr>
        </c:title>
        <c:numFmt formatCode="#,##0.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8635301"/>
        <c:crosses val="autoZero"/>
        <c:crossBetween val="midCat"/>
      </c:valAx>
      <c:valAx>
        <c:axId val="8863530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Stock return (%)</a:t>
                </a:r>
              </a:p>
            </c:rich>
          </c:tx>
          <c:overlay val="0"/>
          <c:spPr>
            <a:noFill/>
            <a:ln w="0">
              <a:noFill/>
            </a:ln>
          </c:spPr>
        </c:title>
        <c:numFmt formatCode="#,##0.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1303672"/>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Variance decomposition</a:t>
            </a:r>
          </a:p>
        </c:rich>
      </c:tx>
      <c:overlay val="0"/>
      <c:spPr>
        <a:noFill/>
        <a:ln w="0">
          <a:noFill/>
        </a:ln>
      </c:spPr>
    </c:title>
    <c:autoTitleDeleted val="0"/>
    <c:plotArea>
      <c:barChart>
        <c:barDir val="bar"/>
        <c:grouping val="percentStacked"/>
        <c:varyColors val="0"/>
        <c:ser>
          <c:idx val="0"/>
          <c:order val="0"/>
          <c:tx>
            <c:strRef>
              <c:f>'4.5 Variance Decomposition'!B25</c:f>
              <c:strCache>
                <c:ptCount val="1"/>
                <c:pt idx="0">
                  <c:v>Systematic share (= R²)</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'4.5 Variance Decomposition'!$C$20:$D$20</c:f>
              <c:strCache>
                <c:ptCount val="2"/>
                <c:pt idx="0">
                  <c:v>Stock X</c:v>
                </c:pt>
                <c:pt idx="1">
                  <c:v>Diversified fund</c:v>
                </c:pt>
              </c:strCache>
            </c:strRef>
          </c:cat>
          <c:val>
            <c:numRef>
              <c:f>'4.5 Variance Decomposition'!$C$25:$D$25</c:f>
              <c:numCache>
                <c:formatCode>0.0%;\(0.0%\);\-</c:formatCode>
                <c:ptCount val="2"/>
                <c:pt idx="0">
                  <c:v>0.485012755102041</c:v>
                </c:pt>
                <c:pt idx="1">
                  <c:v>0.87890625</c:v>
                </c:pt>
              </c:numCache>
            </c:numRef>
          </c:val>
        </c:ser>
        <c:ser>
          <c:idx val="1"/>
          <c:order val="1"/>
          <c:tx>
            <c:strRef>
              <c:f>'4.5 Variance Decomposition'!B26</c:f>
              <c:strCache>
                <c:ptCount val="1"/>
                <c:pt idx="0">
                  <c:v>Idiosyncratic share</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'4.5 Variance Decomposition'!$C$20:$D$20</c:f>
              <c:strCache>
                <c:ptCount val="2"/>
                <c:pt idx="0">
                  <c:v>Stock X</c:v>
                </c:pt>
                <c:pt idx="1">
                  <c:v>Diversified fund</c:v>
                </c:pt>
              </c:strCache>
            </c:strRef>
          </c:cat>
          <c:val>
            <c:numRef>
              <c:f>'4.5 Variance Decomposition'!$C$26:$D$26</c:f>
              <c:numCache>
                <c:formatCode>0.0%;\(0.0%\);\-</c:formatCode>
                <c:ptCount val="2"/>
                <c:pt idx="0">
                  <c:v>0.514987244897959</c:v>
                </c:pt>
                <c:pt idx="1">
                  <c:v>0.12109375</c:v>
                </c:pt>
              </c:numCache>
            </c:numRef>
          </c:val>
        </c:ser>
        <c:gapWidth val="150"/>
        <c:overlap val="100"/>
        <c:axId val="89662473"/>
        <c:axId val="89625000"/>
      </c:barChart>
      <c:catAx>
        <c:axId val="8966247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9625000"/>
        <c:crosses val="autoZero"/>
        <c:auto val="1"/>
        <c:lblAlgn val="ctr"/>
        <c:lblOffset val="100"/>
        <c:noMultiLvlLbl val="0"/>
      </c:catAx>
      <c:valAx>
        <c:axId val="89625000"/>
        <c:scaling>
          <c:orientation val="minMax"/>
        </c:scaling>
        <c:delete val="0"/>
        <c:axPos val="l"/>
        <c:majorGridlines>
          <c:spPr>
            <a:ln w="9360">
              <a:solidFill>
                <a:srgbClr val="878787"/>
              </a:solidFill>
              <a:round/>
            </a:ln>
          </c:spPr>
        </c:majorGridlines>
        <c:numFmt formatCode="[$-409]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966247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Cost behaviour line</a:t>
            </a:r>
          </a:p>
        </c:rich>
      </c:tx>
      <c:overlay val="0"/>
      <c:spPr>
        <a:noFill/>
        <a:ln w="0">
          <a:noFill/>
        </a:ln>
      </c:spPr>
    </c:title>
    <c:autoTitleDeleted val="0"/>
    <c:plotArea>
      <c:scatterChart>
        <c:scatterStyle val="lineMarker"/>
        <c:varyColors val="0"/>
        <c:ser>
          <c:idx val="0"/>
          <c:order val="0"/>
          <c:tx>
            <c:strRef>
              <c:f>"Monthly data"</c:f>
              <c:strCache>
                <c:ptCount val="1"/>
                <c:pt idx="0">
                  <c:v>Monthly data</c:v>
                </c:pt>
              </c:strCache>
            </c:strRef>
          </c:tx>
          <c:spPr>
            <a:solidFill>
              <a:srgbClr val="ffffff"/>
            </a:solidFill>
            <a:ln w="47520">
              <a:noFill/>
            </a:ln>
          </c:spPr>
          <c:marker>
            <c:symbol val="circle"/>
            <c:size val="5"/>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trendline>
            <c:spPr>
              <a:ln w="9360">
                <a:solidFill>
                  <a:srgbClr val="000000"/>
                </a:solidFill>
                <a:round/>
              </a:ln>
            </c:spPr>
            <c:trendlineType val="linear"/>
            <c:forward val="0"/>
            <c:backward val="0"/>
            <c:dispRSqr val="1"/>
            <c:dispEq val="1"/>
          </c:trendline>
          <c:xVal>
            <c:numRef>
              <c:f>'4.7 Flexible Budget'!$C$16:$C$23</c:f>
              <c:numCache>
                <c:formatCode>#,##0.00;\(#,##0.00\);\-</c:formatCode>
                <c:ptCount val="8"/>
                <c:pt idx="0">
                  <c:v>12</c:v>
                </c:pt>
                <c:pt idx="1">
                  <c:v>15</c:v>
                </c:pt>
                <c:pt idx="2">
                  <c:v>10</c:v>
                </c:pt>
                <c:pt idx="3">
                  <c:v>18</c:v>
                </c:pt>
                <c:pt idx="4">
                  <c:v>14</c:v>
                </c:pt>
                <c:pt idx="5">
                  <c:v>20</c:v>
                </c:pt>
                <c:pt idx="6">
                  <c:v>16</c:v>
                </c:pt>
                <c:pt idx="7">
                  <c:v>11</c:v>
                </c:pt>
              </c:numCache>
            </c:numRef>
          </c:xVal>
          <c:yVal>
            <c:numRef>
              <c:f>'4.7 Flexible Budget'!$D$16:$D$23</c:f>
              <c:numCache>
                <c:formatCode>#,##0.00;\(#,##0.00\);\-</c:formatCode>
                <c:ptCount val="8"/>
                <c:pt idx="0">
                  <c:v>9.8</c:v>
                </c:pt>
                <c:pt idx="1">
                  <c:v>11.6</c:v>
                </c:pt>
                <c:pt idx="2">
                  <c:v>8.7</c:v>
                </c:pt>
                <c:pt idx="3">
                  <c:v>12.4</c:v>
                </c:pt>
                <c:pt idx="4">
                  <c:v>11.2</c:v>
                </c:pt>
                <c:pt idx="5">
                  <c:v>13.9</c:v>
                </c:pt>
                <c:pt idx="6">
                  <c:v>11.5</c:v>
                </c:pt>
                <c:pt idx="7">
                  <c:v>9.6</c:v>
                </c:pt>
              </c:numCache>
            </c:numRef>
          </c:yVal>
          <c:smooth val="1"/>
        </c:ser>
        <c:axId val="74829521"/>
        <c:axId val="48662806"/>
      </c:scatterChart>
      <c:valAx>
        <c:axId val="74829521"/>
        <c:scaling>
          <c:orientation val="minMax"/>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Machine hours ('000)</a:t>
                </a:r>
              </a:p>
            </c:rich>
          </c:tx>
          <c:overlay val="0"/>
          <c:spPr>
            <a:noFill/>
            <a:ln w="0">
              <a:noFill/>
            </a:ln>
          </c:spPr>
        </c:title>
        <c:numFmt formatCode="#,##0.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8662806"/>
        <c:crosses val="autoZero"/>
        <c:crossBetween val="midCat"/>
      </c:valAx>
      <c:valAx>
        <c:axId val="4866280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Power cost (₹ lakh)</a:t>
                </a:r>
              </a:p>
            </c:rich>
          </c:tx>
          <c:overlay val="0"/>
          <c:spPr>
            <a:noFill/>
            <a:ln w="0">
              <a:noFill/>
            </a:ln>
          </c:spPr>
        </c:title>
        <c:numFmt formatCode="#,##0.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4829521"/>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2.xml.rels><?xml version="1.0" encoding="UTF-8"?>
<Relationships xmlns="http://schemas.openxmlformats.org/package/2006/relationships"><Relationship Id="rId1" Type="http://schemas.openxmlformats.org/officeDocument/2006/relationships/chart" Target="../charts/chart1.xml"/>
</Relationships>
</file>

<file path=xl/drawings/_rels/drawing3.xml.rels><?xml version="1.0" encoding="UTF-8"?>
<Relationships xmlns="http://schemas.openxmlformats.org/package/2006/relationships"><Relationship Id="rId1" Type="http://schemas.openxmlformats.org/officeDocument/2006/relationships/image" Target="../media/image3.png"/>
</Relationships>
</file>

<file path=xl/drawings/_rels/drawing4.xml.rels><?xml version="1.0" encoding="UTF-8"?>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
</Relationships>
</file>

<file path=xl/drawings/_rels/drawing5.xml.rels><?xml version="1.0" encoding="UTF-8"?>
<Relationships xmlns="http://schemas.openxmlformats.org/package/2006/relationships"><Relationship Id="rId1" Type="http://schemas.openxmlformats.org/officeDocument/2006/relationships/chart" Target="../charts/chart2.xml"/>
</Relationships>
</file>

<file path=xl/drawings/_rels/drawing6.xml.rels><?xml version="1.0" encoding="UTF-8"?>
<Relationships xmlns="http://schemas.openxmlformats.org/package/2006/relationships"><Relationship Id="rId1" Type="http://schemas.openxmlformats.org/officeDocument/2006/relationships/image" Target="../media/image6.png"/>
</Relationships>
</file>

<file path=xl/drawings/_rels/drawing7.xml.rels><?xml version="1.0" encoding="UTF-8"?>
<Relationships xmlns="http://schemas.openxmlformats.org/package/2006/relationships"><Relationship Id="rId1" Type="http://schemas.openxmlformats.org/officeDocument/2006/relationships/chart" Target="../charts/chart3.xml"/>
</Relationships>
</file>

<file path=xl/drawings/_rels/drawing8.xml.rels><?xml version="1.0" encoding="UTF-8"?>
<Relationships xmlns="http://schemas.openxmlformats.org/package/2006/relationships"><Relationship Id="rId1" Type="http://schemas.openxmlformats.org/officeDocument/2006/relationships/image" Target="../media/image7.png"/>
</Relationships>
</file>

<file path=xl/drawings/_rels/drawing9.xml.rels><?xml version="1.0" encoding="UTF-8"?>
<Relationships xmlns="http://schemas.openxmlformats.org/package/2006/relationships"><Relationship Id="rId1" Type="http://schemas.openxmlformats.org/officeDocument/2006/relationships/chart" Target="../charts/chart4.xml"/>
</Relationships>
</file>

<file path=xl/drawings/_rels/drawing10.xml.rels><?xml version="1.0" encoding="UTF-8"?>
<Relationships xmlns="http://schemas.openxmlformats.org/package/2006/relationships"><Relationship Id="rId1" Type="http://schemas.openxmlformats.org/officeDocument/2006/relationships/chart" Target="../charts/chart5.xml"/>
</Relationships>
</file>

<file path=xl/drawings/_rels/drawing11.xml.rels><?xml version="1.0" encoding="UTF-8"?>
<Relationships xmlns="http://schemas.openxmlformats.org/package/2006/relationships"><Relationship Id="rId1"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27</xdr:row>
      <xdr:rowOff>160560</xdr:rowOff>
    </xdr:from>
    <xdr:to>
      <xdr:col>4</xdr:col>
      <xdr:colOff>929520</xdr:colOff>
      <xdr:row>43</xdr:row>
      <xdr:rowOff>65160</xdr:rowOff>
    </xdr:to>
    <xdr:pic>
      <xdr:nvPicPr>
        <xdr:cNvPr id="0" name="Image 1" descr="Picture"/>
        <xdr:cNvPicPr/>
      </xdr:nvPicPr>
      <xdr:blipFill>
        <a:blip r:embed="rId1"/>
        <a:stretch/>
      </xdr:blipFill>
      <xdr:spPr>
        <a:xfrm>
          <a:off x="141120" y="6877080"/>
          <a:ext cx="6286320" cy="2952360"/>
        </a:xfrm>
        <a:prstGeom prst="rect">
          <a:avLst/>
        </a:prstGeom>
        <a:ln w="0">
          <a:noFill/>
        </a:ln>
      </xdr:spPr>
    </xdr:pic>
    <xdr:clientData/>
  </xdr:twoCellAnchor>
  <xdr:twoCellAnchor editAs="oneCell">
    <xdr:from>
      <xdr:col>1</xdr:col>
      <xdr:colOff>0</xdr:colOff>
      <xdr:row>45</xdr:row>
      <xdr:rowOff>179640</xdr:rowOff>
    </xdr:from>
    <xdr:to>
      <xdr:col>4</xdr:col>
      <xdr:colOff>929520</xdr:colOff>
      <xdr:row>61</xdr:row>
      <xdr:rowOff>65160</xdr:rowOff>
    </xdr:to>
    <xdr:pic>
      <xdr:nvPicPr>
        <xdr:cNvPr id="1" name="Image 2" descr="Picture"/>
        <xdr:cNvPicPr/>
      </xdr:nvPicPr>
      <xdr:blipFill>
        <a:blip r:embed="rId2"/>
        <a:stretch/>
      </xdr:blipFill>
      <xdr:spPr>
        <a:xfrm>
          <a:off x="141120" y="10325160"/>
          <a:ext cx="6286320" cy="295236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21</xdr:row>
      <xdr:rowOff>160920</xdr:rowOff>
    </xdr:from>
    <xdr:to>
      <xdr:col>8</xdr:col>
      <xdr:colOff>810720</xdr:colOff>
      <xdr:row>35</xdr:row>
      <xdr:rowOff>13320</xdr:rowOff>
    </xdr:to>
    <xdr:graphicFrame>
      <xdr:nvGraphicFramePr>
        <xdr:cNvPr id="2" name="Chart 1"/>
        <xdr:cNvGraphicFramePr/>
      </xdr:nvGraphicFramePr>
      <xdr:xfrm>
        <a:off x="5497920" y="4648320"/>
        <a:ext cx="503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21</xdr:row>
      <xdr:rowOff>160920</xdr:rowOff>
    </xdr:from>
    <xdr:to>
      <xdr:col>9</xdr:col>
      <xdr:colOff>47520</xdr:colOff>
      <xdr:row>34</xdr:row>
      <xdr:rowOff>93960</xdr:rowOff>
    </xdr:to>
    <xdr:pic>
      <xdr:nvPicPr>
        <xdr:cNvPr id="3" name="Image 1" descr="Picture"/>
        <xdr:cNvPicPr/>
      </xdr:nvPicPr>
      <xdr:blipFill>
        <a:blip r:embed="rId1"/>
        <a:stretch/>
      </xdr:blipFill>
      <xdr:spPr>
        <a:xfrm>
          <a:off x="5497920" y="4648320"/>
          <a:ext cx="5333760" cy="242856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28</xdr:row>
      <xdr:rowOff>160560</xdr:rowOff>
    </xdr:from>
    <xdr:to>
      <xdr:col>4</xdr:col>
      <xdr:colOff>929520</xdr:colOff>
      <xdr:row>44</xdr:row>
      <xdr:rowOff>65160</xdr:rowOff>
    </xdr:to>
    <xdr:pic>
      <xdr:nvPicPr>
        <xdr:cNvPr id="4" name="Image 1" descr="Picture"/>
        <xdr:cNvPicPr/>
      </xdr:nvPicPr>
      <xdr:blipFill>
        <a:blip r:embed="rId1"/>
        <a:stretch/>
      </xdr:blipFill>
      <xdr:spPr>
        <a:xfrm>
          <a:off x="141120" y="6381720"/>
          <a:ext cx="6286320" cy="2952360"/>
        </a:xfrm>
        <a:prstGeom prst="rect">
          <a:avLst/>
        </a:prstGeom>
        <a:ln w="0">
          <a:noFill/>
        </a:ln>
      </xdr:spPr>
    </xdr:pic>
    <xdr:clientData/>
  </xdr:twoCellAnchor>
  <xdr:twoCellAnchor editAs="oneCell">
    <xdr:from>
      <xdr:col>1</xdr:col>
      <xdr:colOff>0</xdr:colOff>
      <xdr:row>46</xdr:row>
      <xdr:rowOff>179640</xdr:rowOff>
    </xdr:from>
    <xdr:to>
      <xdr:col>4</xdr:col>
      <xdr:colOff>929520</xdr:colOff>
      <xdr:row>62</xdr:row>
      <xdr:rowOff>65160</xdr:rowOff>
    </xdr:to>
    <xdr:pic>
      <xdr:nvPicPr>
        <xdr:cNvPr id="5" name="Image 2" descr="Picture"/>
        <xdr:cNvPicPr/>
      </xdr:nvPicPr>
      <xdr:blipFill>
        <a:blip r:embed="rId2"/>
        <a:stretch/>
      </xdr:blipFill>
      <xdr:spPr>
        <a:xfrm>
          <a:off x="141120" y="9829800"/>
          <a:ext cx="6286320" cy="295236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20</xdr:row>
      <xdr:rowOff>160920</xdr:rowOff>
    </xdr:from>
    <xdr:to>
      <xdr:col>13</xdr:col>
      <xdr:colOff>113040</xdr:colOff>
      <xdr:row>35</xdr:row>
      <xdr:rowOff>2880</xdr:rowOff>
    </xdr:to>
    <xdr:graphicFrame>
      <xdr:nvGraphicFramePr>
        <xdr:cNvPr id="6" name="Chart 1"/>
        <xdr:cNvGraphicFramePr/>
      </xdr:nvGraphicFramePr>
      <xdr:xfrm>
        <a:off x="9726840" y="4438800"/>
        <a:ext cx="539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26</xdr:row>
      <xdr:rowOff>160920</xdr:rowOff>
    </xdr:from>
    <xdr:to>
      <xdr:col>4</xdr:col>
      <xdr:colOff>929520</xdr:colOff>
      <xdr:row>42</xdr:row>
      <xdr:rowOff>65160</xdr:rowOff>
    </xdr:to>
    <xdr:pic>
      <xdr:nvPicPr>
        <xdr:cNvPr id="7" name="Image 1" descr="Picture"/>
        <xdr:cNvPicPr/>
      </xdr:nvPicPr>
      <xdr:blipFill>
        <a:blip r:embed="rId1"/>
        <a:stretch/>
      </xdr:blipFill>
      <xdr:spPr>
        <a:xfrm>
          <a:off x="141120" y="6000840"/>
          <a:ext cx="6286320" cy="295236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31</xdr:row>
      <xdr:rowOff>160560</xdr:rowOff>
    </xdr:from>
    <xdr:to>
      <xdr:col>4</xdr:col>
      <xdr:colOff>42840</xdr:colOff>
      <xdr:row>46</xdr:row>
      <xdr:rowOff>2880</xdr:rowOff>
    </xdr:to>
    <xdr:graphicFrame>
      <xdr:nvGraphicFramePr>
        <xdr:cNvPr id="8" name="Chart 1"/>
        <xdr:cNvGraphicFramePr/>
      </xdr:nvGraphicFramePr>
      <xdr:xfrm>
        <a:off x="141120" y="6362640"/>
        <a:ext cx="539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28</xdr:row>
      <xdr:rowOff>160560</xdr:rowOff>
    </xdr:from>
    <xdr:to>
      <xdr:col>4</xdr:col>
      <xdr:colOff>929520</xdr:colOff>
      <xdr:row>44</xdr:row>
      <xdr:rowOff>65160</xdr:rowOff>
    </xdr:to>
    <xdr:pic>
      <xdr:nvPicPr>
        <xdr:cNvPr id="9" name="Image 1" descr="Picture"/>
        <xdr:cNvPicPr/>
      </xdr:nvPicPr>
      <xdr:blipFill>
        <a:blip r:embed="rId1"/>
        <a:stretch/>
      </xdr:blipFill>
      <xdr:spPr>
        <a:xfrm>
          <a:off x="141120" y="6381720"/>
          <a:ext cx="6286320" cy="295236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14</xdr:row>
      <xdr:rowOff>160920</xdr:rowOff>
    </xdr:from>
    <xdr:to>
      <xdr:col>9</xdr:col>
      <xdr:colOff>810720</xdr:colOff>
      <xdr:row>29</xdr:row>
      <xdr:rowOff>182880</xdr:rowOff>
    </xdr:to>
    <xdr:graphicFrame>
      <xdr:nvGraphicFramePr>
        <xdr:cNvPr id="10" name="Chart 1"/>
        <xdr:cNvGraphicFramePr/>
      </xdr:nvGraphicFramePr>
      <xdr:xfrm>
        <a:off x="6555240" y="3314880"/>
        <a:ext cx="503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26</xdr:row>
      <xdr:rowOff>160560</xdr:rowOff>
    </xdr:from>
    <xdr:to>
      <xdr:col>3</xdr:col>
      <xdr:colOff>740160</xdr:colOff>
      <xdr:row>38</xdr:row>
      <xdr:rowOff>34200</xdr:rowOff>
    </xdr:to>
    <xdr:graphicFrame>
      <xdr:nvGraphicFramePr>
        <xdr:cNvPr id="11" name="Chart 1"/>
        <xdr:cNvGraphicFramePr/>
      </xdr:nvGraphicFramePr>
      <xdr:xfrm>
        <a:off x="141120" y="5410080"/>
        <a:ext cx="5039640" cy="21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14</xdr:row>
      <xdr:rowOff>160920</xdr:rowOff>
    </xdr:from>
    <xdr:to>
      <xdr:col>9</xdr:col>
      <xdr:colOff>810720</xdr:colOff>
      <xdr:row>29</xdr:row>
      <xdr:rowOff>182880</xdr:rowOff>
    </xdr:to>
    <xdr:graphicFrame>
      <xdr:nvGraphicFramePr>
        <xdr:cNvPr id="12" name="Chart 1"/>
        <xdr:cNvGraphicFramePr/>
      </xdr:nvGraphicFramePr>
      <xdr:xfrm>
        <a:off x="6555240" y="3314880"/>
        <a:ext cx="503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FRM_Case_Workbook_Faculty_Edition.xlsx" TargetMode="External"/><Relationship Id="rId2" Type="http://schemas.openxmlformats.org/officeDocument/2006/relationships/hyperlink" Target="FRM_Case_Workbook_Faculty_Edition.xlsx" TargetMode="External"/><Relationship Id="rId3" Type="http://schemas.openxmlformats.org/officeDocument/2006/relationships/hyperlink" Target="FRM_Case_Workbook_Faculty_Edition.xlsx" TargetMode="External"/><Relationship Id="rId4" Type="http://schemas.openxmlformats.org/officeDocument/2006/relationships/hyperlink" Target="FRM_Case_Workbook_Faculty_Edition.xlsx" TargetMode="External"/><Relationship Id="rId5" Type="http://schemas.openxmlformats.org/officeDocument/2006/relationships/hyperlink" Target="FRM_Case_Workbook_Faculty_Edition.xlsx" TargetMode="External"/><Relationship Id="rId6" Type="http://schemas.openxmlformats.org/officeDocument/2006/relationships/hyperlink" Target="FRM_Case_Workbook_Faculty_Edition.xlsx" TargetMode="External"/><Relationship Id="rId7" Type="http://schemas.openxmlformats.org/officeDocument/2006/relationships/hyperlink" Target="FRM_Case_Workbook_Faculty_Edition.xlsx" TargetMode="External"/><Relationship Id="rId8" Type="http://schemas.openxmlformats.org/officeDocument/2006/relationships/hyperlink" Target="FRM_Case_Workbook_Faculty_Edition.xlsx" TargetMode="External"/><Relationship Id="rId9" Type="http://schemas.openxmlformats.org/officeDocument/2006/relationships/hyperlink" Target="FRM_Case_Workbook_Faculty_Edition.xlsx" TargetMode="External"/><Relationship Id="rId10" Type="http://schemas.openxmlformats.org/officeDocument/2006/relationships/hyperlink" Target="FRM_Case_Workbook_Faculty_Edition.xlsx" TargetMode="External"/><Relationship Id="rId11" Type="http://schemas.openxmlformats.org/officeDocument/2006/relationships/hyperlink" Target="FRM_Case_Workbook_Faculty_Edition.xlsx" TargetMode="External"/><Relationship Id="rId12" Type="http://schemas.openxmlformats.org/officeDocument/2006/relationships/hyperlink" Target="FRM_Case_Workbook_Faculty_Edition.xlsx" TargetMode="External"/><Relationship Id="rId13" Type="http://schemas.openxmlformats.org/officeDocument/2006/relationships/hyperlink" Target="FRM_Case_Workbook_Faculty_Edition.xlsx" TargetMode="External"/><Relationship Id="rId14" Type="http://schemas.openxmlformats.org/officeDocument/2006/relationships/hyperlink" Target="FRM_Case_Workbook_Faculty_Edition.xlsx" TargetMode="External"/><Relationship Id="rId15" Type="http://schemas.openxmlformats.org/officeDocument/2006/relationships/hyperlink" Target="FRM_Case_Workbook_Faculty_Edition.xlsx" TargetMode="External"/><Relationship Id="rId16" Type="http://schemas.openxmlformats.org/officeDocument/2006/relationships/hyperlink" Target="FRM_Case_Workbook_Faculty_Edition.xlsx" TargetMode="External"/><Relationship Id="rId17" Type="http://schemas.openxmlformats.org/officeDocument/2006/relationships/hyperlink" Target="FRM_Case_Workbook_Faculty_Edition.xlsx" TargetMode="External"/><Relationship Id="rId18" Type="http://schemas.openxmlformats.org/officeDocument/2006/relationships/hyperlink" Target="FRM_Case_Workbook_Faculty_Edition.xlsx" TargetMode="External"/><Relationship Id="rId19" Type="http://schemas.openxmlformats.org/officeDocument/2006/relationships/hyperlink" Target="FRM_Case_Workbook_Faculty_Edition.xlsx" TargetMode="External"/><Relationship Id="rId20" Type="http://schemas.openxmlformats.org/officeDocument/2006/relationships/hyperlink" Target="FRM_Case_Workbook_Faculty_Edition.xlsx" TargetMode="External"/><Relationship Id="rId21" Type="http://schemas.openxmlformats.org/officeDocument/2006/relationships/hyperlink" Target="FRM_Case_Workbook_Faculty_Edition.xlsx" TargetMode="External"/><Relationship Id="rId22" Type="http://schemas.openxmlformats.org/officeDocument/2006/relationships/hyperlink" Target="FRM_Case_Workbook_Faculty_Edition.xlsx" TargetMode="External"/><Relationship Id="rId23" Type="http://schemas.openxmlformats.org/officeDocument/2006/relationships/hyperlink" Target="FRM_Case_Workbook_Faculty_Edition.xlsx" TargetMode="External"/><Relationship Id="rId24" Type="http://schemas.openxmlformats.org/officeDocument/2006/relationships/hyperlink" Target="FRM_Case_Workbook_Faculty_Edition.xlsx" TargetMode="External"/><Relationship Id="rId25" Type="http://schemas.openxmlformats.org/officeDocument/2006/relationships/hyperlink" Target="FRM_Case_Workbook_Faculty_Edition.xlsx" TargetMode="External"/><Relationship Id="rId26" Type="http://schemas.openxmlformats.org/officeDocument/2006/relationships/hyperlink" Target="FRM_Case_Workbook_Faculty_Edition.xlsx" TargetMode="External"/><Relationship Id="rId27" Type="http://schemas.openxmlformats.org/officeDocument/2006/relationships/hyperlink" Target="FRM_Case_Workbook_Faculty_Edition.xlsx" TargetMode="External"/><Relationship Id="rId28" Type="http://schemas.openxmlformats.org/officeDocument/2006/relationships/hyperlink" Target="FRM_Case_Workbook_Faculty_Edition.xlsx" TargetMode="External"/><Relationship Id="rId29" Type="http://schemas.openxmlformats.org/officeDocument/2006/relationships/hyperlink" Target="FRM_Case_Workbook_Faculty_Edition.xlsx" TargetMode="External"/><Relationship Id="rId30" Type="http://schemas.openxmlformats.org/officeDocument/2006/relationships/hyperlink" Target="FRM_Case_Workbook_Faculty_Edition.xlsx" TargetMode="External"/><Relationship Id="rId31" Type="http://schemas.openxmlformats.org/officeDocument/2006/relationships/hyperlink" Target="FRM_Case_Workbook_Faculty_Edition.xlsx" TargetMode="External"/><Relationship Id="rId32" Type="http://schemas.openxmlformats.org/officeDocument/2006/relationships/hyperlink" Target="FRM_Case_Workbook_Faculty_Edition.xlsx" TargetMode="External"/><Relationship Id="rId33" Type="http://schemas.openxmlformats.org/officeDocument/2006/relationships/hyperlink" Target="FRM_Case_Workbook_Faculty_Edition.xlsx" TargetMode="External"/><Relationship Id="rId34" Type="http://schemas.openxmlformats.org/officeDocument/2006/relationships/hyperlink" Target="FRM_Case_Workbook_Faculty_Edition.xlsx" TargetMode="External"/><Relationship Id="rId35" Type="http://schemas.openxmlformats.org/officeDocument/2006/relationships/hyperlink" Target="FRM_Case_Workbook_Faculty_Edition.xlsx" TargetMode="External"/><Relationship Id="rId36" Type="http://schemas.openxmlformats.org/officeDocument/2006/relationships/hyperlink" Target="FRM_Case_Workbook_Faculty_Edition.xlsx" TargetMode="External"/><Relationship Id="rId37" Type="http://schemas.openxmlformats.org/officeDocument/2006/relationships/hyperlink" Target="FRM_Case_Workbook_Faculty_Edition.xlsx" TargetMode="External"/><Relationship Id="rId38" Type="http://schemas.openxmlformats.org/officeDocument/2006/relationships/hyperlink" Target="FRM_Case_Workbook_Faculty_Edition.xlsx" TargetMode="External"/>
</Relationships>
</file>

<file path=xl/worksheets/_rels/sheet2.xml.rels><?xml version="1.0" encoding="UTF-8"?>
<Relationships xmlns="http://schemas.openxmlformats.org/package/2006/relationships"><Relationship Id="rId1" Type="http://schemas.openxmlformats.org/officeDocument/2006/relationships/hyperlink" Target="FRM_Case_Workbook_Faculty_Edition.xlsx" TargetMode="External"/><Relationship Id="rId2"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FRM_Case_Workbook_Faculty_Edition.xlsx" TargetMode="External"/>
</Relationships>
</file>

<file path=xl/worksheets/_rels/sheet4.xml.rels><?xml version="1.0" encoding="UTF-8"?>
<Relationships xmlns="http://schemas.openxmlformats.org/package/2006/relationships"><Relationship Id="rId1" Type="http://schemas.openxmlformats.org/officeDocument/2006/relationships/hyperlink" Target="FRM_Case_Workbook_Faculty_Edition.xlsx" TargetMode="External"/>
</Relationships>
</file>

<file path=xl/worksheets/_rels/sheet5.xml.rels><?xml version="1.0" encoding="UTF-8"?>
<Relationships xmlns="http://schemas.openxmlformats.org/package/2006/relationships"><Relationship Id="rId1" Type="http://schemas.openxmlformats.org/officeDocument/2006/relationships/hyperlink" Target="FRM_Case_Workbook_Faculty_Edition.xlsx" TargetMode="External"/><Relationship Id="rId2"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hyperlink" Target="FRM_Case_Workbook_Faculty_Edition.xlsx" TargetMode="External"/><Relationship Id="rId2"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hyperlink" Target="FRM_Case_Workbook_Faculty_Edition.xlsx" TargetMode="External"/>
</Relationships>
</file>

<file path=xl/worksheets/_rels/sheet8.xml.rels><?xml version="1.0" encoding="UTF-8"?>
<Relationships xmlns="http://schemas.openxmlformats.org/package/2006/relationships"><Relationship Id="rId1" Type="http://schemas.openxmlformats.org/officeDocument/2006/relationships/hyperlink" Target="FRM_Case_Workbook_Faculty_Edition.xlsx" TargetMode="External"/>
</Relationships>
</file>

<file path=xl/worksheets/_rels/sheet9.xml.rels><?xml version="1.0" encoding="UTF-8"?>
<Relationships xmlns="http://schemas.openxmlformats.org/package/2006/relationships"><Relationship Id="rId1" Type="http://schemas.openxmlformats.org/officeDocument/2006/relationships/hyperlink" Target="FRM_Case_Workbook_Faculty_Edition.xlsx" TargetMode="External"/>
</Relationships>
</file>

<file path=xl/worksheets/_rels/sheet10.xml.rels><?xml version="1.0" encoding="UTF-8"?>
<Relationships xmlns="http://schemas.openxmlformats.org/package/2006/relationships"><Relationship Id="rId1" Type="http://schemas.openxmlformats.org/officeDocument/2006/relationships/hyperlink" Target="FRM_Case_Workbook_Faculty_Edition.xlsx" TargetMode="External"/>
</Relationships>
</file>

<file path=xl/worksheets/_rels/sheet11.xml.rels><?xml version="1.0" encoding="UTF-8"?>
<Relationships xmlns="http://schemas.openxmlformats.org/package/2006/relationships"><Relationship Id="rId1" Type="http://schemas.openxmlformats.org/officeDocument/2006/relationships/hyperlink" Target="FRM_Case_Workbook_Faculty_Edition.xlsx" TargetMode="External"/><Relationship Id="rId2" Type="http://schemas.openxmlformats.org/officeDocument/2006/relationships/drawing" Target="../drawings/drawing4.xml"/>
</Relationships>
</file>

<file path=xl/worksheets/_rels/sheet12.xml.rels><?xml version="1.0" encoding="UTF-8"?>
<Relationships xmlns="http://schemas.openxmlformats.org/package/2006/relationships"><Relationship Id="rId1" Type="http://schemas.openxmlformats.org/officeDocument/2006/relationships/hyperlink" Target="FRM_Case_Workbook_Faculty_Edition.xlsx" TargetMode="External"/>
</Relationships>
</file>

<file path=xl/worksheets/_rels/sheet13.xml.rels><?xml version="1.0" encoding="UTF-8"?>
<Relationships xmlns="http://schemas.openxmlformats.org/package/2006/relationships"><Relationship Id="rId1" Type="http://schemas.openxmlformats.org/officeDocument/2006/relationships/hyperlink" Target="FRM_Case_Workbook_Faculty_Edition.xlsx" TargetMode="External"/><Relationship Id="rId2" Type="http://schemas.openxmlformats.org/officeDocument/2006/relationships/drawing" Target="../drawings/drawing5.xml"/>
</Relationships>
</file>

<file path=xl/worksheets/_rels/sheet14.xml.rels><?xml version="1.0" encoding="UTF-8"?>
<Relationships xmlns="http://schemas.openxmlformats.org/package/2006/relationships"><Relationship Id="rId1" Type="http://schemas.openxmlformats.org/officeDocument/2006/relationships/hyperlink" Target="FRM_Case_Workbook_Faculty_Edition.xlsx" TargetMode="External"/>
</Relationships>
</file>

<file path=xl/worksheets/_rels/sheet15.xml.rels><?xml version="1.0" encoding="UTF-8"?>
<Relationships xmlns="http://schemas.openxmlformats.org/package/2006/relationships"><Relationship Id="rId1" Type="http://schemas.openxmlformats.org/officeDocument/2006/relationships/hyperlink" Target="FRM_Case_Workbook_Faculty_Edition.xlsx" TargetMode="External"/>
</Relationships>
</file>

<file path=xl/worksheets/_rels/sheet16.xml.rels><?xml version="1.0" encoding="UTF-8"?>
<Relationships xmlns="http://schemas.openxmlformats.org/package/2006/relationships"><Relationship Id="rId1" Type="http://schemas.openxmlformats.org/officeDocument/2006/relationships/hyperlink" Target="FRM_Case_Workbook_Faculty_Edition.xlsx" TargetMode="External"/>
</Relationships>
</file>

<file path=xl/worksheets/_rels/sheet17.xml.rels><?xml version="1.0" encoding="UTF-8"?>
<Relationships xmlns="http://schemas.openxmlformats.org/package/2006/relationships"><Relationship Id="rId1" Type="http://schemas.openxmlformats.org/officeDocument/2006/relationships/hyperlink" Target="FRM_Case_Workbook_Faculty_Edition.xlsx" TargetMode="External"/>
</Relationships>
</file>

<file path=xl/worksheets/_rels/sheet18.xml.rels><?xml version="1.0" encoding="UTF-8"?>
<Relationships xmlns="http://schemas.openxmlformats.org/package/2006/relationships"><Relationship Id="rId1" Type="http://schemas.openxmlformats.org/officeDocument/2006/relationships/hyperlink" Target="FRM_Case_Workbook_Faculty_Edition.xlsx" TargetMode="External"/>
</Relationships>
</file>

<file path=xl/worksheets/_rels/sheet19.xml.rels><?xml version="1.0" encoding="UTF-8"?>
<Relationships xmlns="http://schemas.openxmlformats.org/package/2006/relationships"><Relationship Id="rId1" Type="http://schemas.openxmlformats.org/officeDocument/2006/relationships/hyperlink" Target="FRM_Case_Workbook_Faculty_Edition.xlsx" TargetMode="External"/>
</Relationships>
</file>

<file path=xl/worksheets/_rels/sheet20.xml.rels><?xml version="1.0" encoding="UTF-8"?>
<Relationships xmlns="http://schemas.openxmlformats.org/package/2006/relationships"><Relationship Id="rId1" Type="http://schemas.openxmlformats.org/officeDocument/2006/relationships/hyperlink" Target="FRM_Case_Workbook_Faculty_Edition.xlsx" TargetMode="External"/><Relationship Id="rId2" Type="http://schemas.openxmlformats.org/officeDocument/2006/relationships/drawing" Target="../drawings/drawing6.xml"/>
</Relationships>
</file>

<file path=xl/worksheets/_rels/sheet21.xml.rels><?xml version="1.0" encoding="UTF-8"?>
<Relationships xmlns="http://schemas.openxmlformats.org/package/2006/relationships"><Relationship Id="rId1" Type="http://schemas.openxmlformats.org/officeDocument/2006/relationships/hyperlink" Target="FRM_Case_Workbook_Faculty_Edition.xlsx" TargetMode="External"/>
</Relationships>
</file>

<file path=xl/worksheets/_rels/sheet22.xml.rels><?xml version="1.0" encoding="UTF-8"?>
<Relationships xmlns="http://schemas.openxmlformats.org/package/2006/relationships"><Relationship Id="rId1" Type="http://schemas.openxmlformats.org/officeDocument/2006/relationships/hyperlink" Target="FRM_Case_Workbook_Faculty_Edition.xlsx" TargetMode="External"/>
</Relationships>
</file>

<file path=xl/worksheets/_rels/sheet23.xml.rels><?xml version="1.0" encoding="UTF-8"?>
<Relationships xmlns="http://schemas.openxmlformats.org/package/2006/relationships"><Relationship Id="rId1" Type="http://schemas.openxmlformats.org/officeDocument/2006/relationships/hyperlink" Target="FRM_Case_Workbook_Faculty_Edition.xlsx" TargetMode="External"/>
</Relationships>
</file>

<file path=xl/worksheets/_rels/sheet24.xml.rels><?xml version="1.0" encoding="UTF-8"?>
<Relationships xmlns="http://schemas.openxmlformats.org/package/2006/relationships"><Relationship Id="rId1" Type="http://schemas.openxmlformats.org/officeDocument/2006/relationships/hyperlink" Target="FRM_Case_Workbook_Faculty_Edition.xlsx" TargetMode="External"/>
</Relationships>
</file>

<file path=xl/worksheets/_rels/sheet25.xml.rels><?xml version="1.0" encoding="UTF-8"?>
<Relationships xmlns="http://schemas.openxmlformats.org/package/2006/relationships"><Relationship Id="rId1" Type="http://schemas.openxmlformats.org/officeDocument/2006/relationships/hyperlink" Target="FRM_Case_Workbook_Faculty_Edition.xlsx" TargetMode="External"/>
</Relationships>
</file>

<file path=xl/worksheets/_rels/sheet26.xml.rels><?xml version="1.0" encoding="UTF-8"?>
<Relationships xmlns="http://schemas.openxmlformats.org/package/2006/relationships"><Relationship Id="rId1" Type="http://schemas.openxmlformats.org/officeDocument/2006/relationships/hyperlink" Target="FRM_Case_Workbook_Faculty_Edition.xlsx" TargetMode="External"/>
</Relationships>
</file>

<file path=xl/worksheets/_rels/sheet27.xml.rels><?xml version="1.0" encoding="UTF-8"?>
<Relationships xmlns="http://schemas.openxmlformats.org/package/2006/relationships"><Relationship Id="rId1" Type="http://schemas.openxmlformats.org/officeDocument/2006/relationships/hyperlink" Target="FRM_Case_Workbook_Faculty_Edition.xlsx" TargetMode="External"/><Relationship Id="rId2" Type="http://schemas.openxmlformats.org/officeDocument/2006/relationships/drawing" Target="../drawings/drawing7.xml"/>
</Relationships>
</file>

<file path=xl/worksheets/_rels/sheet28.xml.rels><?xml version="1.0" encoding="UTF-8"?>
<Relationships xmlns="http://schemas.openxmlformats.org/package/2006/relationships"><Relationship Id="rId1" Type="http://schemas.openxmlformats.org/officeDocument/2006/relationships/hyperlink" Target="FRM_Case_Workbook_Faculty_Edition.xlsx" TargetMode="External"/>
</Relationships>
</file>

<file path=xl/worksheets/_rels/sheet29.xml.rels><?xml version="1.0" encoding="UTF-8"?>
<Relationships xmlns="http://schemas.openxmlformats.org/package/2006/relationships"><Relationship Id="rId1" Type="http://schemas.openxmlformats.org/officeDocument/2006/relationships/hyperlink" Target="FRM_Case_Workbook_Faculty_Edition.xlsx" TargetMode="External"/><Relationship Id="rId2" Type="http://schemas.openxmlformats.org/officeDocument/2006/relationships/drawing" Target="../drawings/drawing8.xml"/>
</Relationships>
</file>

<file path=xl/worksheets/_rels/sheet30.xml.rels><?xml version="1.0" encoding="UTF-8"?>
<Relationships xmlns="http://schemas.openxmlformats.org/package/2006/relationships"><Relationship Id="rId1" Type="http://schemas.openxmlformats.org/officeDocument/2006/relationships/hyperlink" Target="FRM_Case_Workbook_Faculty_Edition.xlsx" TargetMode="External"/><Relationship Id="rId2" Type="http://schemas.openxmlformats.org/officeDocument/2006/relationships/drawing" Target="../drawings/drawing9.xml"/>
</Relationships>
</file>

<file path=xl/worksheets/_rels/sheet31.xml.rels><?xml version="1.0" encoding="UTF-8"?>
<Relationships xmlns="http://schemas.openxmlformats.org/package/2006/relationships"><Relationship Id="rId1" Type="http://schemas.openxmlformats.org/officeDocument/2006/relationships/hyperlink" Target="FRM_Case_Workbook_Faculty_Edition.xlsx" TargetMode="External"/>
</Relationships>
</file>

<file path=xl/worksheets/_rels/sheet32.xml.rels><?xml version="1.0" encoding="UTF-8"?>
<Relationships xmlns="http://schemas.openxmlformats.org/package/2006/relationships"><Relationship Id="rId1" Type="http://schemas.openxmlformats.org/officeDocument/2006/relationships/hyperlink" Target="FRM_Case_Workbook_Faculty_Edition.xlsx" TargetMode="External"/>
</Relationships>
</file>

<file path=xl/worksheets/_rels/sheet33.xml.rels><?xml version="1.0" encoding="UTF-8"?>
<Relationships xmlns="http://schemas.openxmlformats.org/package/2006/relationships"><Relationship Id="rId1" Type="http://schemas.openxmlformats.org/officeDocument/2006/relationships/hyperlink" Target="FRM_Case_Workbook_Faculty_Edition.xlsx" TargetMode="External"/>
</Relationships>
</file>

<file path=xl/worksheets/_rels/sheet34.xml.rels><?xml version="1.0" encoding="UTF-8"?>
<Relationships xmlns="http://schemas.openxmlformats.org/package/2006/relationships"><Relationship Id="rId1" Type="http://schemas.openxmlformats.org/officeDocument/2006/relationships/hyperlink" Target="FRM_Case_Workbook_Faculty_Edition.xlsx" TargetMode="External"/><Relationship Id="rId2" Type="http://schemas.openxmlformats.org/officeDocument/2006/relationships/drawing" Target="../drawings/drawing10.xml"/>
</Relationships>
</file>

<file path=xl/worksheets/_rels/sheet35.xml.rels><?xml version="1.0" encoding="UTF-8"?>
<Relationships xmlns="http://schemas.openxmlformats.org/package/2006/relationships"><Relationship Id="rId1" Type="http://schemas.openxmlformats.org/officeDocument/2006/relationships/hyperlink" Target="FRM_Case_Workbook_Faculty_Edition.xlsx" TargetMode="External"/>
</Relationships>
</file>

<file path=xl/worksheets/_rels/sheet36.xml.rels><?xml version="1.0" encoding="UTF-8"?>
<Relationships xmlns="http://schemas.openxmlformats.org/package/2006/relationships"><Relationship Id="rId1" Type="http://schemas.openxmlformats.org/officeDocument/2006/relationships/hyperlink" Target="FRM_Case_Workbook_Faculty_Edition.xlsx" TargetMode="External"/><Relationship Id="rId2" Type="http://schemas.openxmlformats.org/officeDocument/2006/relationships/drawing" Target="../drawings/drawing11.xml"/>
</Relationships>
</file>

<file path=xl/worksheets/_rels/sheet37.xml.rels><?xml version="1.0" encoding="UTF-8"?>
<Relationships xmlns="http://schemas.openxmlformats.org/package/2006/relationships"><Relationship Id="rId1" Type="http://schemas.openxmlformats.org/officeDocument/2006/relationships/hyperlink" Target="FRM_Case_Workbook_Faculty_Edition.xlsx" TargetMode="External"/>
</Relationships>
</file>

<file path=xl/worksheets/_rels/sheet39.xml.rels><?xml version="1.0" encoding="UTF-8"?>
<Relationships xmlns="http://schemas.openxmlformats.org/package/2006/relationships"><Relationship Id="rId1" Type="http://schemas.openxmlformats.org/officeDocument/2006/relationships/hyperlink" Target="FRM_Case_Workbook_Faculty_Edition.xlsx" TargetMode="External"/><Relationship Id="rId2" Type="http://schemas.openxmlformats.org/officeDocument/2006/relationships/hyperlink" Target="FRM_Case_Workbook_Faculty_Edition.xlsx" TargetMode="External"/><Relationship Id="rId3" Type="http://schemas.openxmlformats.org/officeDocument/2006/relationships/hyperlink" Target="FRM_Case_Workbook_Faculty_Edition.xlsx" TargetMode="External"/><Relationship Id="rId4" Type="http://schemas.openxmlformats.org/officeDocument/2006/relationships/hyperlink" Target="FRM_Case_Workbook_Faculty_Edition.xlsx" TargetMode="External"/><Relationship Id="rId5" Type="http://schemas.openxmlformats.org/officeDocument/2006/relationships/hyperlink" Target="FRM_Case_Workbook_Faculty_Edition.xlsx" TargetMode="External"/><Relationship Id="rId6" Type="http://schemas.openxmlformats.org/officeDocument/2006/relationships/hyperlink" Target="FRM_Case_Workbook_Faculty_Edition.xlsx" TargetMode="External"/><Relationship Id="rId7" Type="http://schemas.openxmlformats.org/officeDocument/2006/relationships/hyperlink" Target="FRM_Case_Workbook_Faculty_Edition.xlsx" TargetMode="External"/><Relationship Id="rId8" Type="http://schemas.openxmlformats.org/officeDocument/2006/relationships/hyperlink" Target="FRM_Case_Workbook_Faculty_Edition.xlsx" TargetMode="External"/><Relationship Id="rId9" Type="http://schemas.openxmlformats.org/officeDocument/2006/relationships/hyperlink" Target="FRM_Case_Workbook_Faculty_Edition.xlsx" TargetMode="External"/><Relationship Id="rId10" Type="http://schemas.openxmlformats.org/officeDocument/2006/relationships/hyperlink" Target="FRM_Case_Workbook_Faculty_Edition.xlsx" TargetMode="External"/><Relationship Id="rId11" Type="http://schemas.openxmlformats.org/officeDocument/2006/relationships/hyperlink" Target="FRM_Case_Workbook_Faculty_Edition.xlsx" TargetMode="External"/><Relationship Id="rId12" Type="http://schemas.openxmlformats.org/officeDocument/2006/relationships/hyperlink" Target="FRM_Case_Workbook_Faculty_Edition.xlsx" TargetMode="External"/><Relationship Id="rId13" Type="http://schemas.openxmlformats.org/officeDocument/2006/relationships/hyperlink" Target="FRM_Case_Workbook_Faculty_Edition.xlsx" TargetMode="External"/><Relationship Id="rId14" Type="http://schemas.openxmlformats.org/officeDocument/2006/relationships/hyperlink" Target="FRM_Case_Workbook_Faculty_Edition.xlsx" TargetMode="External"/><Relationship Id="rId15" Type="http://schemas.openxmlformats.org/officeDocument/2006/relationships/hyperlink" Target="FRM_Case_Workbook_Faculty_Edition.xlsx" TargetMode="External"/><Relationship Id="rId16" Type="http://schemas.openxmlformats.org/officeDocument/2006/relationships/hyperlink" Target="FRM_Case_Workbook_Faculty_Edition.xlsx" TargetMode="External"/><Relationship Id="rId17" Type="http://schemas.openxmlformats.org/officeDocument/2006/relationships/hyperlink" Target="FRM_Case_Workbook_Faculty_Edition.xlsx" TargetMode="External"/><Relationship Id="rId18" Type="http://schemas.openxmlformats.org/officeDocument/2006/relationships/hyperlink" Target="FRM_Case_Workbook_Faculty_Edition.xlsx" TargetMode="External"/><Relationship Id="rId19" Type="http://schemas.openxmlformats.org/officeDocument/2006/relationships/hyperlink" Target="FRM_Case_Workbook_Faculty_Edition.xlsx" TargetMode="External"/><Relationship Id="rId20" Type="http://schemas.openxmlformats.org/officeDocument/2006/relationships/hyperlink" Target="FRM_Case_Workbook_Faculty_Edition.xlsx" TargetMode="External"/><Relationship Id="rId21" Type="http://schemas.openxmlformats.org/officeDocument/2006/relationships/hyperlink" Target="FRM_Case_Workbook_Faculty_Edition.xlsx" TargetMode="External"/><Relationship Id="rId22" Type="http://schemas.openxmlformats.org/officeDocument/2006/relationships/hyperlink" Target="FRM_Case_Workbook_Faculty_Edition.xlsx" TargetMode="External"/><Relationship Id="rId23" Type="http://schemas.openxmlformats.org/officeDocument/2006/relationships/hyperlink" Target="FRM_Case_Workbook_Faculty_Edition.xlsx" TargetMode="External"/><Relationship Id="rId24" Type="http://schemas.openxmlformats.org/officeDocument/2006/relationships/hyperlink" Target="FRM_Case_Workbook_Faculty_Edition.xlsx" TargetMode="External"/><Relationship Id="rId25" Type="http://schemas.openxmlformats.org/officeDocument/2006/relationships/hyperlink" Target="FRM_Case_Workbook_Faculty_Edition.xlsx" TargetMode="External"/><Relationship Id="rId26" Type="http://schemas.openxmlformats.org/officeDocument/2006/relationships/hyperlink" Target="FRM_Case_Workbook_Faculty_Edition.xlsx" TargetMode="External"/><Relationship Id="rId27" Type="http://schemas.openxmlformats.org/officeDocument/2006/relationships/hyperlink" Target="FRM_Case_Workbook_Faculty_Edition.xlsx" TargetMode="External"/><Relationship Id="rId28" Type="http://schemas.openxmlformats.org/officeDocument/2006/relationships/hyperlink" Target="FRM_Case_Workbook_Faculty_Edition.xlsx" TargetMode="External"/><Relationship Id="rId29" Type="http://schemas.openxmlformats.org/officeDocument/2006/relationships/hyperlink" Target="FRM_Case_Workbook_Faculty_Edition.xlsx" TargetMode="External"/><Relationship Id="rId30" Type="http://schemas.openxmlformats.org/officeDocument/2006/relationships/hyperlink" Target="FRM_Case_Workbook_Faculty_Edition.xlsx" TargetMode="External"/><Relationship Id="rId31" Type="http://schemas.openxmlformats.org/officeDocument/2006/relationships/hyperlink" Target="FRM_Case_Workbook_Faculty_Edition.xlsx" TargetMode="External"/><Relationship Id="rId32" Type="http://schemas.openxmlformats.org/officeDocument/2006/relationships/hyperlink" Target="FRM_Case_Workbook_Faculty_Edition.xlsx" TargetMode="External"/><Relationship Id="rId33" Type="http://schemas.openxmlformats.org/officeDocument/2006/relationships/hyperlink" Target="FRM_Case_Workbook_Faculty_Edition.xlsx" TargetMode="External"/><Relationship Id="rId34" Type="http://schemas.openxmlformats.org/officeDocument/2006/relationships/hyperlink" Target="FRM_Case_Workbook_Faculty_Edition.xlsx" TargetMode="External"/><Relationship Id="rId35" Type="http://schemas.openxmlformats.org/officeDocument/2006/relationships/hyperlink" Target="FRM_Case_Workbook_Faculty_Edition.xlsx" TargetMode="External"/><Relationship Id="rId36" Type="http://schemas.openxmlformats.org/officeDocument/2006/relationships/hyperlink" Target="FRM_Case_Workbook_Faculty_Edition.xlsx" TargetMode="External"/><Relationship Id="rId37" Type="http://schemas.openxmlformats.org/officeDocument/2006/relationships/hyperlink" Target="FRM_Case_Workbook_Faculty_Edition.xlsx" TargetMode="External"/><Relationship Id="rId38" Type="http://schemas.openxmlformats.org/officeDocument/2006/relationships/hyperlink" Target="FRM_Case_Workbook_Faculty_Edition.xlsx" TargetMode="External"/><Relationship Id="rId39" Type="http://schemas.openxmlformats.org/officeDocument/2006/relationships/hyperlink" Target="FRM_Case_Workbook_Faculty_Edition.xlsx" TargetMode="External"/><Relationship Id="rId40" Type="http://schemas.openxmlformats.org/officeDocument/2006/relationships/hyperlink" Target="FRM_Case_Workbook_Faculty_Edition.xlsx" TargetMode="External"/><Relationship Id="rId41" Type="http://schemas.openxmlformats.org/officeDocument/2006/relationships/hyperlink" Target="FRM_Case_Workbook_Faculty_Edition.xls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F5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2"/>
    <col collapsed="false" customWidth="true" hidden="false" outlineLevel="0" max="3" min="3" style="0" width="58"/>
    <col collapsed="false" customWidth="true" hidden="false" outlineLevel="0" max="4" min="4" style="0" width="26"/>
    <col collapsed="false" customWidth="true" hidden="false" outlineLevel="0" max="5" min="5" style="0" width="30"/>
    <col collapsed="false" customWidth="true" hidden="false" outlineLevel="0" max="6" min="6" style="0" width="18"/>
  </cols>
  <sheetData>
    <row r="2" customFormat="false" ht="15" hidden="false" customHeight="false" outlineLevel="0" collapsed="false">
      <c r="B2" s="1" t="s">
        <v>0</v>
      </c>
    </row>
    <row r="3" customFormat="false" ht="22.05" hidden="false" customHeight="false" outlineLevel="0" collapsed="false">
      <c r="B3" s="2" t="s">
        <v>1</v>
      </c>
    </row>
    <row r="4" customFormat="false" ht="15" hidden="false" customHeight="false" outlineLevel="0" collapsed="false">
      <c r="B4" s="3" t="s">
        <v>2</v>
      </c>
    </row>
    <row r="6" customFormat="false" ht="15" hidden="false" customHeight="false" outlineLevel="0" collapsed="false">
      <c r="B6" s="4" t="s">
        <v>3</v>
      </c>
      <c r="C6" s="5"/>
      <c r="D6" s="5"/>
      <c r="E6" s="5"/>
      <c r="F6" s="5"/>
    </row>
    <row r="7" customFormat="false" ht="15" hidden="false" customHeight="false" outlineLevel="0" collapsed="false">
      <c r="B7" s="6" t="s">
        <v>4</v>
      </c>
    </row>
    <row r="9" customFormat="false" ht="15" hidden="false" customHeight="false" outlineLevel="0" collapsed="false">
      <c r="B9" s="7" t="s">
        <v>5</v>
      </c>
    </row>
    <row r="10" customFormat="false" ht="15" hidden="false" customHeight="false" outlineLevel="0" collapsed="false">
      <c r="B10" s="8" t="s">
        <v>6</v>
      </c>
      <c r="C10" s="9" t="s">
        <v>7</v>
      </c>
    </row>
    <row r="11" customFormat="false" ht="15" hidden="false" customHeight="false" outlineLevel="0" collapsed="false">
      <c r="B11" s="10" t="s">
        <v>8</v>
      </c>
      <c r="C11" s="9" t="s">
        <v>9</v>
      </c>
    </row>
    <row r="12" customFormat="false" ht="15" hidden="false" customHeight="false" outlineLevel="0" collapsed="false">
      <c r="B12" s="11" t="s">
        <v>10</v>
      </c>
      <c r="C12" s="9" t="s">
        <v>11</v>
      </c>
    </row>
    <row r="13" customFormat="false" ht="15" hidden="false" customHeight="false" outlineLevel="0" collapsed="false">
      <c r="B13" s="6" t="s">
        <v>12</v>
      </c>
    </row>
    <row r="15" customFormat="false" ht="15" hidden="false" customHeight="false" outlineLevel="0" collapsed="false">
      <c r="B15" s="7" t="s">
        <v>13</v>
      </c>
    </row>
    <row r="16" customFormat="false" ht="15" hidden="false" customHeight="false" outlineLevel="0" collapsed="false">
      <c r="B16" s="12" t="s">
        <v>14</v>
      </c>
      <c r="C16" s="12" t="s">
        <v>15</v>
      </c>
      <c r="D16" s="12" t="s">
        <v>16</v>
      </c>
      <c r="E16" s="12" t="s">
        <v>17</v>
      </c>
      <c r="F16" s="12" t="s">
        <v>18</v>
      </c>
    </row>
    <row r="17" customFormat="false" ht="15" hidden="false" customHeight="false" outlineLevel="0" collapsed="false">
      <c r="B17" s="13" t="s">
        <v>19</v>
      </c>
      <c r="C17" s="13" t="s">
        <v>20</v>
      </c>
      <c r="D17" s="14" t="s">
        <v>21</v>
      </c>
      <c r="E17" s="15"/>
      <c r="F17" s="15"/>
    </row>
    <row r="18" customFormat="false" ht="15" hidden="false" customHeight="false" outlineLevel="0" collapsed="false">
      <c r="B18" s="16" t="s">
        <v>22</v>
      </c>
      <c r="C18" s="16" t="s">
        <v>23</v>
      </c>
      <c r="D18" s="17" t="s">
        <v>24</v>
      </c>
      <c r="E18" s="18" t="s">
        <v>25</v>
      </c>
      <c r="F18" s="19" t="n">
        <f aca="false">'1.1 Parametric VaR'!$C$24</f>
        <v>1.3956</v>
      </c>
    </row>
    <row r="19" customFormat="false" ht="15" hidden="false" customHeight="false" outlineLevel="0" collapsed="false">
      <c r="B19" s="16" t="s">
        <v>26</v>
      </c>
      <c r="C19" s="16" t="s">
        <v>27</v>
      </c>
      <c r="D19" s="17" t="s">
        <v>28</v>
      </c>
      <c r="E19" s="18" t="s">
        <v>29</v>
      </c>
      <c r="F19" s="19" t="n">
        <f aca="false">'1.2 Portfolio VaR'!$C$28</f>
        <v>2.04730286541098</v>
      </c>
    </row>
    <row r="20" customFormat="false" ht="15" hidden="false" customHeight="false" outlineLevel="0" collapsed="false">
      <c r="B20" s="16" t="s">
        <v>30</v>
      </c>
      <c r="C20" s="16" t="s">
        <v>31</v>
      </c>
      <c r="D20" s="17" t="s">
        <v>32</v>
      </c>
      <c r="E20" s="18" t="s">
        <v>33</v>
      </c>
      <c r="F20" s="19" t="n">
        <f aca="false">'1.3 Historical VaR &amp; ES'!$C$41</f>
        <v>3.528</v>
      </c>
    </row>
    <row r="21" customFormat="false" ht="15" hidden="false" customHeight="false" outlineLevel="0" collapsed="false">
      <c r="B21" s="16" t="s">
        <v>34</v>
      </c>
      <c r="C21" s="16" t="s">
        <v>35</v>
      </c>
      <c r="D21" s="17" t="s">
        <v>36</v>
      </c>
      <c r="E21" s="18" t="s">
        <v>37</v>
      </c>
      <c r="F21" s="19" t="n">
        <f aca="false">'1.4 VaR Backtesting'!$C$36</f>
        <v>56.25</v>
      </c>
    </row>
    <row r="22" customFormat="false" ht="15" hidden="false" customHeight="false" outlineLevel="0" collapsed="false">
      <c r="B22" s="16" t="s">
        <v>38</v>
      </c>
      <c r="C22" s="16" t="s">
        <v>39</v>
      </c>
      <c r="D22" s="17" t="s">
        <v>40</v>
      </c>
      <c r="E22" s="18" t="s">
        <v>25</v>
      </c>
      <c r="F22" s="19" t="n">
        <f aca="false">'1.5 Bond VaR'!$C$25</f>
        <v>1.81428</v>
      </c>
    </row>
    <row r="23" customFormat="false" ht="15" hidden="false" customHeight="false" outlineLevel="0" collapsed="false">
      <c r="B23" s="16" t="s">
        <v>41</v>
      </c>
      <c r="C23" s="16" t="s">
        <v>42</v>
      </c>
      <c r="D23" s="17" t="s">
        <v>43</v>
      </c>
      <c r="E23" s="18" t="s">
        <v>44</v>
      </c>
      <c r="F23" s="19" t="n">
        <f aca="false">'1.6 FX VaR'!$C$26</f>
        <v>1.52937234478723</v>
      </c>
    </row>
    <row r="24" customFormat="false" ht="15" hidden="false" customHeight="false" outlineLevel="0" collapsed="false">
      <c r="B24" s="16" t="s">
        <v>45</v>
      </c>
      <c r="C24" s="16" t="s">
        <v>46</v>
      </c>
      <c r="D24" s="17" t="s">
        <v>47</v>
      </c>
      <c r="E24" s="18" t="s">
        <v>48</v>
      </c>
      <c r="F24" s="19" t="n">
        <f aca="false">'1.7 VaR vs ES'!$C$25</f>
        <v>3.50670418830212</v>
      </c>
    </row>
    <row r="25" customFormat="false" ht="15" hidden="false" customHeight="false" outlineLevel="0" collapsed="false">
      <c r="B25" s="16" t="s">
        <v>49</v>
      </c>
      <c r="C25" s="16" t="s">
        <v>50</v>
      </c>
      <c r="D25" s="17" t="s">
        <v>51</v>
      </c>
      <c r="E25" s="18" t="s">
        <v>52</v>
      </c>
      <c r="F25" s="19" t="n">
        <f aca="false">'1.8 Basel Market Capital'!$C$24</f>
        <v>90</v>
      </c>
    </row>
    <row r="26" customFormat="false" ht="15" hidden="false" customHeight="false" outlineLevel="0" collapsed="false">
      <c r="B26" s="13" t="s">
        <v>53</v>
      </c>
      <c r="C26" s="13" t="s">
        <v>54</v>
      </c>
      <c r="D26" s="14" t="s">
        <v>55</v>
      </c>
      <c r="E26" s="15"/>
      <c r="F26" s="15"/>
    </row>
    <row r="27" customFormat="false" ht="15" hidden="false" customHeight="false" outlineLevel="0" collapsed="false">
      <c r="B27" s="16" t="s">
        <v>56</v>
      </c>
      <c r="C27" s="16" t="s">
        <v>57</v>
      </c>
      <c r="D27" s="17" t="s">
        <v>58</v>
      </c>
      <c r="E27" s="18" t="s">
        <v>59</v>
      </c>
      <c r="F27" s="20" t="n">
        <f aca="false">'2.1 Bond Duration'!$C$32</f>
        <v>4.02035421122042</v>
      </c>
    </row>
    <row r="28" customFormat="false" ht="15" hidden="false" customHeight="false" outlineLevel="0" collapsed="false">
      <c r="B28" s="16" t="s">
        <v>60</v>
      </c>
      <c r="C28" s="16" t="s">
        <v>61</v>
      </c>
      <c r="D28" s="17" t="s">
        <v>62</v>
      </c>
      <c r="E28" s="18" t="s">
        <v>63</v>
      </c>
      <c r="F28" s="20" t="n">
        <f aca="false">'2.2 Convexity'!$C$36</f>
        <v>64.02148973663</v>
      </c>
    </row>
    <row r="29" customFormat="false" ht="15" hidden="false" customHeight="false" outlineLevel="0" collapsed="false">
      <c r="B29" s="16" t="s">
        <v>64</v>
      </c>
      <c r="C29" s="16" t="s">
        <v>65</v>
      </c>
      <c r="D29" s="17" t="s">
        <v>66</v>
      </c>
      <c r="E29" s="18" t="s">
        <v>67</v>
      </c>
      <c r="F29" s="21" t="n">
        <f aca="false">'2.3 PV01 Hedging'!$C$24</f>
        <v>20000</v>
      </c>
    </row>
    <row r="30" customFormat="false" ht="15" hidden="false" customHeight="false" outlineLevel="0" collapsed="false">
      <c r="B30" s="16" t="s">
        <v>68</v>
      </c>
      <c r="C30" s="16" t="s">
        <v>69</v>
      </c>
      <c r="D30" s="17" t="s">
        <v>70</v>
      </c>
      <c r="E30" s="18" t="s">
        <v>71</v>
      </c>
      <c r="F30" s="21" t="n">
        <f aca="false">'2.4 Beta Hedging'!$C$26</f>
        <v>170</v>
      </c>
    </row>
    <row r="31" customFormat="false" ht="15" hidden="false" customHeight="false" outlineLevel="0" collapsed="false">
      <c r="B31" s="16" t="s">
        <v>72</v>
      </c>
      <c r="C31" s="16" t="s">
        <v>73</v>
      </c>
      <c r="D31" s="17" t="s">
        <v>74</v>
      </c>
      <c r="E31" s="18" t="s">
        <v>75</v>
      </c>
      <c r="F31" s="19" t="n">
        <f aca="false">'2.5 Option Greeks'!$C$27</f>
        <v>86.8644176442424</v>
      </c>
    </row>
    <row r="32" customFormat="false" ht="15" hidden="false" customHeight="false" outlineLevel="0" collapsed="false">
      <c r="B32" s="16" t="s">
        <v>76</v>
      </c>
      <c r="C32" s="16" t="s">
        <v>77</v>
      </c>
      <c r="D32" s="17" t="s">
        <v>78</v>
      </c>
      <c r="E32" s="18" t="s">
        <v>79</v>
      </c>
      <c r="F32" s="21" t="n">
        <f aca="false">'2.6 Delta-Gamma Hedge'!$C$23</f>
        <v>35000</v>
      </c>
    </row>
    <row r="33" customFormat="false" ht="15" hidden="false" customHeight="false" outlineLevel="0" collapsed="false">
      <c r="B33" s="16" t="s">
        <v>80</v>
      </c>
      <c r="C33" s="16" t="s">
        <v>81</v>
      </c>
      <c r="D33" s="17" t="s">
        <v>82</v>
      </c>
      <c r="E33" s="18" t="s">
        <v>83</v>
      </c>
      <c r="F33" s="19" t="n">
        <f aca="false">'2.7 Duration Gap'!$C$25</f>
        <v>-634.766355140187</v>
      </c>
    </row>
    <row r="34" customFormat="false" ht="15" hidden="false" customHeight="false" outlineLevel="0" collapsed="false">
      <c r="B34" s="16" t="s">
        <v>84</v>
      </c>
      <c r="C34" s="16" t="s">
        <v>85</v>
      </c>
      <c r="D34" s="17" t="s">
        <v>86</v>
      </c>
      <c r="E34" s="18" t="s">
        <v>87</v>
      </c>
      <c r="F34" s="20" t="n">
        <f aca="false">'2.8 Effective Duration'!$C$22</f>
        <v>2.77777777777778</v>
      </c>
    </row>
    <row r="35" customFormat="false" ht="15" hidden="false" customHeight="false" outlineLevel="0" collapsed="false">
      <c r="B35" s="13" t="s">
        <v>88</v>
      </c>
      <c r="C35" s="13" t="s">
        <v>89</v>
      </c>
      <c r="D35" s="14" t="s">
        <v>90</v>
      </c>
      <c r="E35" s="15"/>
      <c r="F35" s="15"/>
    </row>
    <row r="36" customFormat="false" ht="15" hidden="false" customHeight="false" outlineLevel="0" collapsed="false">
      <c r="B36" s="16" t="s">
        <v>91</v>
      </c>
      <c r="C36" s="16" t="s">
        <v>92</v>
      </c>
      <c r="D36" s="17" t="s">
        <v>93</v>
      </c>
      <c r="E36" s="18" t="s">
        <v>94</v>
      </c>
      <c r="F36" s="22" t="n">
        <f aca="false">'3.1 Loan RAROC'!$C$39</f>
        <v>0.166875</v>
      </c>
    </row>
    <row r="37" customFormat="false" ht="15" hidden="false" customHeight="false" outlineLevel="0" collapsed="false">
      <c r="B37" s="16" t="s">
        <v>95</v>
      </c>
      <c r="C37" s="16" t="s">
        <v>96</v>
      </c>
      <c r="D37" s="17" t="s">
        <v>97</v>
      </c>
      <c r="E37" s="18" t="s">
        <v>98</v>
      </c>
      <c r="F37" s="23" t="n">
        <f aca="false">'3.2 Risk-Based Pricing'!$C$34</f>
        <v>0.09575</v>
      </c>
    </row>
    <row r="38" customFormat="false" ht="15" hidden="false" customHeight="false" outlineLevel="0" collapsed="false">
      <c r="B38" s="16" t="s">
        <v>99</v>
      </c>
      <c r="C38" s="16" t="s">
        <v>100</v>
      </c>
      <c r="D38" s="17" t="s">
        <v>101</v>
      </c>
      <c r="E38" s="18" t="s">
        <v>102</v>
      </c>
      <c r="F38" s="22" t="n">
        <f aca="false">'3.3 Corporate vs SME'!$C$38</f>
        <v>0.2295</v>
      </c>
    </row>
    <row r="39" customFormat="false" ht="15" hidden="false" customHeight="false" outlineLevel="0" collapsed="false">
      <c r="B39" s="16" t="s">
        <v>103</v>
      </c>
      <c r="C39" s="16" t="s">
        <v>104</v>
      </c>
      <c r="D39" s="17" t="s">
        <v>105</v>
      </c>
      <c r="E39" s="18" t="s">
        <v>106</v>
      </c>
      <c r="F39" s="22" t="n">
        <f aca="false">'3.4 Economic Capital'!$C$29</f>
        <v>0.1875</v>
      </c>
    </row>
    <row r="40" customFormat="false" ht="15" hidden="false" customHeight="false" outlineLevel="0" collapsed="false">
      <c r="B40" s="16" t="s">
        <v>107</v>
      </c>
      <c r="C40" s="16" t="s">
        <v>108</v>
      </c>
      <c r="D40" s="17" t="s">
        <v>109</v>
      </c>
      <c r="E40" s="18" t="s">
        <v>110</v>
      </c>
      <c r="F40" s="22" t="n">
        <f aca="false">'3.5 Trading Desk RAROC'!$D$26</f>
        <v>0.316227766016838</v>
      </c>
    </row>
    <row r="41" customFormat="false" ht="15" hidden="false" customHeight="false" outlineLevel="0" collapsed="false">
      <c r="B41" s="16" t="s">
        <v>111</v>
      </c>
      <c r="C41" s="16" t="s">
        <v>112</v>
      </c>
      <c r="D41" s="17" t="s">
        <v>113</v>
      </c>
      <c r="E41" s="18" t="s">
        <v>114</v>
      </c>
      <c r="F41" s="22" t="n">
        <f aca="false">'3.6 Relationship RAROC'!$D$38</f>
        <v>0.212678571428571</v>
      </c>
    </row>
    <row r="42" customFormat="false" ht="15" hidden="false" customHeight="false" outlineLevel="0" collapsed="false">
      <c r="B42" s="16" t="s">
        <v>115</v>
      </c>
      <c r="C42" s="16" t="s">
        <v>116</v>
      </c>
      <c r="D42" s="17" t="s">
        <v>117</v>
      </c>
      <c r="E42" s="18" t="s">
        <v>118</v>
      </c>
      <c r="F42" s="22" t="n">
        <f aca="false">'3.7 Capital Allocation'!$E$30</f>
        <v>0.184166666666667</v>
      </c>
    </row>
    <row r="43" customFormat="false" ht="15" hidden="false" customHeight="false" outlineLevel="0" collapsed="false">
      <c r="B43" s="16" t="s">
        <v>119</v>
      </c>
      <c r="C43" s="16" t="s">
        <v>120</v>
      </c>
      <c r="D43" s="17" t="s">
        <v>121</v>
      </c>
      <c r="E43" s="18" t="s">
        <v>122</v>
      </c>
      <c r="F43" s="22" t="n">
        <f aca="false">'3.8 Collateral Impact'!$D$38</f>
        <v>0.3275</v>
      </c>
    </row>
    <row r="44" customFormat="false" ht="15" hidden="false" customHeight="false" outlineLevel="0" collapsed="false">
      <c r="B44" s="13" t="s">
        <v>123</v>
      </c>
      <c r="C44" s="13" t="s">
        <v>124</v>
      </c>
      <c r="D44" s="14" t="s">
        <v>125</v>
      </c>
      <c r="E44" s="15"/>
      <c r="F44" s="15"/>
    </row>
    <row r="45" customFormat="false" ht="15" hidden="false" customHeight="false" outlineLevel="0" collapsed="false">
      <c r="B45" s="16" t="s">
        <v>126</v>
      </c>
      <c r="C45" s="16" t="s">
        <v>127</v>
      </c>
      <c r="D45" s="17" t="s">
        <v>128</v>
      </c>
      <c r="E45" s="18" t="s">
        <v>129</v>
      </c>
      <c r="F45" s="20" t="n">
        <f aca="false">'4.1 Beta Regression'!$C$35</f>
        <v>1.29947000095865</v>
      </c>
    </row>
    <row r="46" customFormat="false" ht="15" hidden="false" customHeight="false" outlineLevel="0" collapsed="false">
      <c r="B46" s="16" t="s">
        <v>130</v>
      </c>
      <c r="C46" s="16" t="s">
        <v>131</v>
      </c>
      <c r="D46" s="17" t="s">
        <v>132</v>
      </c>
      <c r="E46" s="18" t="s">
        <v>133</v>
      </c>
      <c r="F46" s="19" t="n">
        <f aca="false">'4.2 Multiple Regression'!$C$46</f>
        <v>4.99</v>
      </c>
    </row>
    <row r="47" customFormat="false" ht="15" hidden="false" customHeight="false" outlineLevel="0" collapsed="false">
      <c r="B47" s="16" t="s">
        <v>134</v>
      </c>
      <c r="C47" s="16" t="s">
        <v>135</v>
      </c>
      <c r="D47" s="17" t="s">
        <v>136</v>
      </c>
      <c r="E47" s="18" t="s">
        <v>137</v>
      </c>
      <c r="F47" s="20" t="n">
        <f aca="false">'4.3 Hedge Ratio'!$C$22</f>
        <v>0.656</v>
      </c>
    </row>
    <row r="48" customFormat="false" ht="15" hidden="false" customHeight="false" outlineLevel="0" collapsed="false">
      <c r="B48" s="16" t="s">
        <v>138</v>
      </c>
      <c r="C48" s="16" t="s">
        <v>139</v>
      </c>
      <c r="D48" s="17" t="s">
        <v>140</v>
      </c>
      <c r="E48" s="18" t="s">
        <v>141</v>
      </c>
      <c r="F48" s="22" t="n">
        <f aca="false">'4.4 Portfolio Variance'!$C$27</f>
        <v>0.0947501978889754</v>
      </c>
    </row>
    <row r="49" customFormat="false" ht="15" hidden="false" customHeight="false" outlineLevel="0" collapsed="false">
      <c r="B49" s="16" t="s">
        <v>142</v>
      </c>
      <c r="C49" s="16" t="s">
        <v>143</v>
      </c>
      <c r="D49" s="17" t="s">
        <v>144</v>
      </c>
      <c r="E49" s="18" t="s">
        <v>145</v>
      </c>
      <c r="F49" s="24" t="n">
        <f aca="false">'4.5 Variance Decomposition'!$C$25</f>
        <v>0.485012755102041</v>
      </c>
    </row>
    <row r="50" customFormat="false" ht="15" hidden="false" customHeight="false" outlineLevel="0" collapsed="false">
      <c r="B50" s="16" t="s">
        <v>146</v>
      </c>
      <c r="C50" s="16" t="s">
        <v>147</v>
      </c>
      <c r="D50" s="17" t="s">
        <v>148</v>
      </c>
      <c r="E50" s="18" t="s">
        <v>149</v>
      </c>
      <c r="F50" s="20" t="n">
        <f aca="false">'4.6 Fund Volatility'!$C$37</f>
        <v>1.48340493327966</v>
      </c>
    </row>
    <row r="51" customFormat="false" ht="15" hidden="false" customHeight="false" outlineLevel="0" collapsed="false">
      <c r="B51" s="16" t="s">
        <v>150</v>
      </c>
      <c r="C51" s="16" t="s">
        <v>151</v>
      </c>
      <c r="D51" s="17" t="s">
        <v>152</v>
      </c>
      <c r="E51" s="18" t="s">
        <v>153</v>
      </c>
      <c r="F51" s="20" t="n">
        <f aca="false">'4.7 Flexible Budget'!$C$40</f>
        <v>0.666964285714284</v>
      </c>
    </row>
    <row r="52" customFormat="false" ht="15" hidden="false" customHeight="false" outlineLevel="0" collapsed="false">
      <c r="B52" s="16" t="s">
        <v>154</v>
      </c>
      <c r="C52" s="16" t="s">
        <v>155</v>
      </c>
      <c r="D52" s="17" t="s">
        <v>156</v>
      </c>
      <c r="E52" s="18" t="s">
        <v>157</v>
      </c>
      <c r="F52" s="19" t="n">
        <f aca="false">'4.8 ANOVA'!$C$28</f>
        <v>66.5</v>
      </c>
    </row>
    <row r="53" customFormat="false" ht="15" hidden="false" customHeight="false" outlineLevel="0" collapsed="false">
      <c r="B53" s="16" t="s">
        <v>158</v>
      </c>
      <c r="C53" s="16" t="s">
        <v>159</v>
      </c>
      <c r="D53" s="17" t="s">
        <v>160</v>
      </c>
    </row>
    <row r="54" customFormat="false" ht="15" hidden="false" customHeight="false" outlineLevel="0" collapsed="false">
      <c r="B54" s="16" t="s">
        <v>158</v>
      </c>
      <c r="C54" s="16" t="s">
        <v>161</v>
      </c>
      <c r="D54" s="17" t="s">
        <v>162</v>
      </c>
    </row>
  </sheetData>
  <hyperlinks>
    <hyperlink ref="D17" r:id="rId1" location="'M1%20VaR%20Concept'!A1" display="M1 VaR Concept"/>
    <hyperlink ref="D18" r:id="rId2" location="'1.1%20Parametric%20VaR'!A1" display="1.1 Parametric VaR"/>
    <hyperlink ref="D19" r:id="rId3" location="'1.2%20Portfolio%20VaR'!A1" display="1.2 Portfolio VaR"/>
    <hyperlink ref="D20" r:id="rId4" location="'1.3%20Historical%20VaR%20&amp;%20ES'!A1" display="1.3 Historical VaR &amp; ES"/>
    <hyperlink ref="D21" r:id="rId5" location="'1.4%20VaR%20Backtesting'!A1" display="1.4 VaR Backtesting"/>
    <hyperlink ref="D22" r:id="rId6" location="'1.5%20Bond%20VaR'!A1" display="1.5 Bond VaR"/>
    <hyperlink ref="D23" r:id="rId7" location="'1.6%20FX%20VaR'!A1" display="1.6 FX VaR"/>
    <hyperlink ref="D24" r:id="rId8" location="'1.7%20VaR%20vs%20ES'!A1" display="1.7 VaR vs ES"/>
    <hyperlink ref="D25" r:id="rId9" location="'1.8%20Basel%20Market%20Capital'!A1" display="1.8 Basel Market Capital"/>
    <hyperlink ref="D26" r:id="rId10" location="'M2%20Sensitivity%20Concept'!A1" display="M2 Sensitivity Concept"/>
    <hyperlink ref="D27" r:id="rId11" location="'2.1%20Bond%20Duration'!A1" display="2.1 Bond Duration"/>
    <hyperlink ref="D28" r:id="rId12" location="'2.2%20Convexity'!A1" display="2.2 Convexity"/>
    <hyperlink ref="D29" r:id="rId13" location="'2.3%20PV01%20Hedging'!A1" display="2.3 PV01 Hedging"/>
    <hyperlink ref="D30" r:id="rId14" location="'2.4%20Beta%20Hedging'!A1" display="2.4 Beta Hedging"/>
    <hyperlink ref="D31" r:id="rId15" location="'2.5%20Option%20Greeks'!A1" display="2.5 Option Greeks"/>
    <hyperlink ref="D32" r:id="rId16" location="'2.6%20Delta-Gamma%20Hedge'!A1" display="2.6 Delta-Gamma Hedge"/>
    <hyperlink ref="D33" r:id="rId17" location="'2.7%20Duration%20Gap'!A1" display="2.7 Duration Gap"/>
    <hyperlink ref="D34" r:id="rId18" location="'2.8%20Effective%20Duration'!A1" display="2.8 Effective Duration"/>
    <hyperlink ref="D35" r:id="rId19" location="'M3%20RAROC%20Concept'!A1" display="M3 RAROC Concept"/>
    <hyperlink ref="D36" r:id="rId20" location="'3.1%20Loan%20RAROC'!A1" display="3.1 Loan RAROC"/>
    <hyperlink ref="D37" r:id="rId21" location="'3.2%20Risk-Based%20Pricing'!A1" display="3.2 Risk-Based Pricing"/>
    <hyperlink ref="D38" r:id="rId22" location="'3.3%20Corporate%20vs%20SME'!A1" display="3.3 Corporate vs SME"/>
    <hyperlink ref="D39" r:id="rId23" location="'3.4%20Economic%20Capital'!A1" display="3.4 Economic Capital"/>
    <hyperlink ref="D40" r:id="rId24" location="'3.5%20Trading%20Desk%20RAROC'!A1" display="3.5 Trading Desk RAROC"/>
    <hyperlink ref="D41" r:id="rId25" location="'3.6%20Relationship%20RAROC'!A1" display="3.6 Relationship RAROC"/>
    <hyperlink ref="D42" r:id="rId26" location="'3.7%20Capital%20Allocation'!A1" display="3.7 Capital Allocation"/>
    <hyperlink ref="D43" r:id="rId27" location="'3.8%20Collateral%20Impact'!A1" display="3.8 Collateral Impact"/>
    <hyperlink ref="D44" r:id="rId28" location="'M4%20Regression%20Concept'!A1" display="M4 Regression Concept"/>
    <hyperlink ref="D45" r:id="rId29" location="'4.1%20Beta%20Regression'!A1" display="4.1 Beta Regression"/>
    <hyperlink ref="D46" r:id="rId30" location="'4.2%20Multiple%20Regression'!A1" display="4.2 Multiple Regression"/>
    <hyperlink ref="D47" r:id="rId31" location="'4.3%20Hedge%20Ratio'!A1" display="4.3 Hedge Ratio"/>
    <hyperlink ref="D48" r:id="rId32" location="'4.4%20Portfolio%20Variance'!A1" display="4.4 Portfolio Variance"/>
    <hyperlink ref="D49" r:id="rId33" location="'4.5%20Variance%20Decomposition'!A1" display="4.5 Variance Decomposition"/>
    <hyperlink ref="D50" r:id="rId34" location="'4.6%20Fund%20Volatility'!A1" display="4.6 Fund Volatility"/>
    <hyperlink ref="D51" r:id="rId35" location="'4.7%20Flexible%20Budget'!A1" display="4.7 Flexible Budget"/>
    <hyperlink ref="D52" r:id="rId36" location="'4.8%20ANOVA'!A1" display="4.8 ANOVA"/>
    <hyperlink ref="D53" r:id="rId37" location="'Formula%20Sheet'!A1" display="Formula Sheet"/>
    <hyperlink ref="D54" r:id="rId38" location="'Answer%20Key'!A1" display="Answer Key"/>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25" t="s">
        <v>163</v>
      </c>
      <c r="I1" s="26" t="s">
        <v>164</v>
      </c>
    </row>
    <row r="3" customFormat="false" ht="15" hidden="false" customHeight="false" outlineLevel="0" collapsed="false">
      <c r="B3" s="27" t="s">
        <v>165</v>
      </c>
      <c r="C3" s="28"/>
      <c r="D3" s="28"/>
      <c r="E3" s="28"/>
      <c r="F3" s="28"/>
      <c r="G3" s="28"/>
      <c r="H3" s="28"/>
      <c r="I3" s="28"/>
    </row>
    <row r="4" customFormat="false" ht="57" hidden="false" customHeight="true" outlineLevel="0" collapsed="false">
      <c r="B4" s="29" t="s">
        <v>166</v>
      </c>
      <c r="C4" s="29"/>
      <c r="D4" s="29"/>
      <c r="E4" s="29"/>
      <c r="F4" s="29"/>
      <c r="G4" s="29"/>
      <c r="H4" s="29"/>
      <c r="I4" s="29"/>
    </row>
    <row r="6" customFormat="false" ht="15" hidden="false" customHeight="false" outlineLevel="0" collapsed="false">
      <c r="B6" s="27" t="s">
        <v>167</v>
      </c>
      <c r="C6" s="28"/>
      <c r="D6" s="28"/>
      <c r="E6" s="28"/>
      <c r="F6" s="28"/>
      <c r="G6" s="28"/>
      <c r="H6" s="28"/>
      <c r="I6" s="28"/>
    </row>
    <row r="7" customFormat="false" ht="16.5" hidden="false" customHeight="true" outlineLevel="0" collapsed="false">
      <c r="B7" s="29" t="s">
        <v>168</v>
      </c>
      <c r="C7" s="29"/>
      <c r="D7" s="29"/>
      <c r="E7" s="29"/>
      <c r="F7" s="29"/>
      <c r="G7" s="29"/>
      <c r="H7" s="29"/>
      <c r="I7" s="29"/>
    </row>
    <row r="8" customFormat="false" ht="16.5" hidden="false" customHeight="true" outlineLevel="0" collapsed="false">
      <c r="B8" s="29" t="s">
        <v>169</v>
      </c>
      <c r="C8" s="29"/>
      <c r="D8" s="29"/>
      <c r="E8" s="29"/>
      <c r="F8" s="29"/>
      <c r="G8" s="29"/>
      <c r="H8" s="29"/>
      <c r="I8" s="29"/>
    </row>
    <row r="9" customFormat="false" ht="30" hidden="false" customHeight="true" outlineLevel="0" collapsed="false">
      <c r="B9" s="29" t="s">
        <v>170</v>
      </c>
      <c r="C9" s="29"/>
      <c r="D9" s="29"/>
      <c r="E9" s="29"/>
      <c r="F9" s="29"/>
      <c r="G9" s="29"/>
      <c r="H9" s="29"/>
      <c r="I9" s="29"/>
    </row>
    <row r="10" customFormat="false" ht="30" hidden="false" customHeight="true" outlineLevel="0" collapsed="false">
      <c r="B10" s="29" t="s">
        <v>171</v>
      </c>
      <c r="C10" s="29"/>
      <c r="D10" s="29"/>
      <c r="E10" s="29"/>
      <c r="F10" s="29"/>
      <c r="G10" s="29"/>
      <c r="H10" s="29"/>
      <c r="I10" s="29"/>
    </row>
    <row r="12" customFormat="false" ht="15" hidden="false" customHeight="false" outlineLevel="0" collapsed="false">
      <c r="B12" s="27" t="s">
        <v>172</v>
      </c>
      <c r="C12" s="28"/>
      <c r="D12" s="28"/>
      <c r="E12" s="28"/>
      <c r="F12" s="28"/>
      <c r="G12" s="28"/>
      <c r="H12" s="28"/>
      <c r="I12" s="28"/>
    </row>
    <row r="13" customFormat="false" ht="30" hidden="false" customHeight="true" outlineLevel="0" collapsed="false">
      <c r="B13" s="29" t="s">
        <v>173</v>
      </c>
      <c r="C13" s="29"/>
      <c r="D13" s="29"/>
      <c r="E13" s="29"/>
      <c r="F13" s="29"/>
      <c r="G13" s="29"/>
      <c r="H13" s="29"/>
      <c r="I13" s="29"/>
    </row>
    <row r="14" customFormat="false" ht="30" hidden="false" customHeight="true" outlineLevel="0" collapsed="false">
      <c r="B14" s="29" t="s">
        <v>174</v>
      </c>
      <c r="C14" s="29"/>
      <c r="D14" s="29"/>
      <c r="E14" s="29"/>
      <c r="F14" s="29"/>
      <c r="G14" s="29"/>
      <c r="H14" s="29"/>
      <c r="I14" s="29"/>
    </row>
    <row r="15" customFormat="false" ht="30" hidden="false" customHeight="true" outlineLevel="0" collapsed="false">
      <c r="B15" s="29" t="s">
        <v>175</v>
      </c>
      <c r="C15" s="29"/>
      <c r="D15" s="29"/>
      <c r="E15" s="29"/>
      <c r="F15" s="29"/>
      <c r="G15" s="29"/>
      <c r="H15" s="29"/>
      <c r="I15" s="29"/>
    </row>
    <row r="16" customFormat="false" ht="16.5" hidden="false" customHeight="true" outlineLevel="0" collapsed="false">
      <c r="B16" s="29" t="s">
        <v>176</v>
      </c>
      <c r="C16" s="29"/>
      <c r="D16" s="29"/>
      <c r="E16" s="29"/>
      <c r="F16" s="29"/>
      <c r="G16" s="29"/>
      <c r="H16" s="29"/>
      <c r="I16" s="29"/>
    </row>
    <row r="18" customFormat="false" ht="15" hidden="false" customHeight="false" outlineLevel="0" collapsed="false">
      <c r="B18" s="27" t="s">
        <v>177</v>
      </c>
      <c r="C18" s="28"/>
      <c r="D18" s="28"/>
      <c r="E18" s="28"/>
      <c r="F18" s="28"/>
      <c r="G18" s="28"/>
      <c r="H18" s="28"/>
      <c r="I18" s="28"/>
    </row>
    <row r="19" customFormat="false" ht="15" hidden="false" customHeight="false" outlineLevel="0" collapsed="false">
      <c r="B19" s="12" t="s">
        <v>178</v>
      </c>
      <c r="C19" s="30" t="s">
        <v>179</v>
      </c>
    </row>
    <row r="20" customFormat="false" ht="15" hidden="false" customHeight="false" outlineLevel="0" collapsed="false">
      <c r="B20" s="31" t="s">
        <v>180</v>
      </c>
      <c r="C20" s="32" t="s">
        <v>181</v>
      </c>
      <c r="D20" s="32"/>
      <c r="E20" s="32"/>
      <c r="F20" s="32"/>
      <c r="G20" s="32"/>
      <c r="H20" s="32"/>
      <c r="I20" s="32"/>
    </row>
    <row r="21" customFormat="false" ht="15" hidden="false" customHeight="false" outlineLevel="0" collapsed="false">
      <c r="B21" s="31" t="s">
        <v>182</v>
      </c>
      <c r="C21" s="32" t="s">
        <v>183</v>
      </c>
      <c r="D21" s="32"/>
      <c r="E21" s="32"/>
      <c r="F21" s="32"/>
      <c r="G21" s="32"/>
      <c r="H21" s="32"/>
      <c r="I21" s="32"/>
    </row>
    <row r="22" customFormat="false" ht="15" hidden="false" customHeight="false" outlineLevel="0" collapsed="false">
      <c r="B22" s="31" t="s">
        <v>184</v>
      </c>
      <c r="C22" s="32" t="s">
        <v>185</v>
      </c>
      <c r="D22" s="32"/>
      <c r="E22" s="32"/>
      <c r="F22" s="32"/>
      <c r="G22" s="32"/>
      <c r="H22" s="32"/>
      <c r="I22" s="32"/>
    </row>
    <row r="23" customFormat="false" ht="15" hidden="false" customHeight="false" outlineLevel="0" collapsed="false">
      <c r="B23" s="31" t="s">
        <v>186</v>
      </c>
      <c r="C23" s="32" t="s">
        <v>187</v>
      </c>
      <c r="D23" s="32"/>
      <c r="E23" s="32"/>
      <c r="F23" s="32"/>
      <c r="G23" s="32"/>
      <c r="H23" s="32"/>
      <c r="I23" s="32"/>
    </row>
    <row r="24" customFormat="false" ht="15" hidden="false" customHeight="false" outlineLevel="0" collapsed="false">
      <c r="B24" s="31" t="s">
        <v>188</v>
      </c>
      <c r="C24" s="32" t="s">
        <v>189</v>
      </c>
      <c r="D24" s="32"/>
      <c r="E24" s="32"/>
      <c r="F24" s="32"/>
      <c r="G24" s="32"/>
      <c r="H24" s="32"/>
      <c r="I24" s="32"/>
    </row>
    <row r="25" customFormat="false" ht="15" hidden="false" customHeight="false" outlineLevel="0" collapsed="false">
      <c r="B25" s="31" t="s">
        <v>190</v>
      </c>
      <c r="C25" s="32" t="s">
        <v>191</v>
      </c>
      <c r="D25" s="32"/>
      <c r="E25" s="32"/>
      <c r="F25" s="32"/>
      <c r="G25" s="32"/>
      <c r="H25" s="32"/>
      <c r="I25" s="32"/>
    </row>
    <row r="26" customFormat="false" ht="15" hidden="false" customHeight="false" outlineLevel="0" collapsed="false">
      <c r="B26" s="31" t="s">
        <v>192</v>
      </c>
      <c r="C26" s="32" t="s">
        <v>193</v>
      </c>
      <c r="D26" s="32"/>
      <c r="E26" s="32"/>
      <c r="F26" s="32"/>
      <c r="G26" s="32"/>
      <c r="H26" s="32"/>
      <c r="I26" s="32"/>
    </row>
    <row r="28" customFormat="false" ht="15" hidden="false" customHeight="false" outlineLevel="0" collapsed="false">
      <c r="B28" s="27" t="s">
        <v>194</v>
      </c>
      <c r="C28" s="28"/>
      <c r="D28" s="28"/>
      <c r="E28" s="28"/>
      <c r="F28" s="28"/>
      <c r="G28" s="28"/>
      <c r="H28" s="28"/>
      <c r="I28" s="28"/>
    </row>
    <row r="46" customFormat="false" ht="16.5" hidden="false" customHeight="true" outlineLevel="0" collapsed="false">
      <c r="B46" s="33" t="s">
        <v>195</v>
      </c>
      <c r="C46" s="33"/>
      <c r="D46" s="33"/>
      <c r="E46" s="33"/>
      <c r="F46" s="33"/>
      <c r="G46" s="33"/>
      <c r="H46" s="33"/>
      <c r="I46" s="33"/>
    </row>
    <row r="64" customFormat="false" ht="16.5" hidden="false" customHeight="true" outlineLevel="0" collapsed="false">
      <c r="B64" s="33" t="s">
        <v>196</v>
      </c>
      <c r="C64" s="33"/>
      <c r="D64" s="33"/>
      <c r="E64" s="33"/>
      <c r="F64" s="33"/>
      <c r="G64" s="33"/>
      <c r="H64" s="33"/>
      <c r="I64" s="33"/>
    </row>
    <row r="66" customFormat="false" ht="15" hidden="false" customHeight="false" outlineLevel="0" collapsed="false">
      <c r="B66" s="27" t="s">
        <v>197</v>
      </c>
      <c r="C66" s="28"/>
      <c r="D66" s="28"/>
      <c r="E66" s="28"/>
      <c r="F66" s="28"/>
      <c r="G66" s="28"/>
      <c r="H66" s="28"/>
      <c r="I66" s="28"/>
    </row>
    <row r="67" customFormat="false" ht="16.5" hidden="false" customHeight="true" outlineLevel="0" collapsed="false">
      <c r="B67" s="34" t="s">
        <v>198</v>
      </c>
      <c r="C67" s="34"/>
      <c r="D67" s="34"/>
      <c r="E67" s="34"/>
      <c r="F67" s="34"/>
      <c r="G67" s="34"/>
      <c r="H67" s="34"/>
      <c r="I67" s="34"/>
    </row>
    <row r="68" customFormat="false" ht="43.5" hidden="false" customHeight="true" outlineLevel="0" collapsed="false">
      <c r="B68" s="35" t="s">
        <v>199</v>
      </c>
      <c r="C68" s="35"/>
      <c r="D68" s="35"/>
      <c r="E68" s="35"/>
      <c r="F68" s="35"/>
      <c r="G68" s="35"/>
      <c r="H68" s="35"/>
      <c r="I68" s="35"/>
    </row>
    <row r="69" customFormat="false" ht="16.5" hidden="false" customHeight="true" outlineLevel="0" collapsed="false">
      <c r="B69" s="34" t="s">
        <v>200</v>
      </c>
      <c r="C69" s="34"/>
      <c r="D69" s="34"/>
      <c r="E69" s="34"/>
      <c r="F69" s="34"/>
      <c r="G69" s="34"/>
      <c r="H69" s="34"/>
      <c r="I69" s="34"/>
    </row>
    <row r="70" customFormat="false" ht="43.5" hidden="false" customHeight="true" outlineLevel="0" collapsed="false">
      <c r="B70" s="35" t="s">
        <v>201</v>
      </c>
      <c r="C70" s="35"/>
      <c r="D70" s="35"/>
      <c r="E70" s="35"/>
      <c r="F70" s="35"/>
      <c r="G70" s="35"/>
      <c r="H70" s="35"/>
      <c r="I70" s="35"/>
    </row>
    <row r="71" customFormat="false" ht="16.5" hidden="false" customHeight="true" outlineLevel="0" collapsed="false">
      <c r="B71" s="34" t="s">
        <v>202</v>
      </c>
      <c r="C71" s="34"/>
      <c r="D71" s="34"/>
      <c r="E71" s="34"/>
      <c r="F71" s="34"/>
      <c r="G71" s="34"/>
      <c r="H71" s="34"/>
      <c r="I71" s="34"/>
    </row>
    <row r="72" customFormat="false" ht="30" hidden="false" customHeight="true" outlineLevel="0" collapsed="false">
      <c r="B72" s="35" t="s">
        <v>203</v>
      </c>
      <c r="C72" s="35"/>
      <c r="D72" s="35"/>
      <c r="E72" s="35"/>
      <c r="F72" s="35"/>
      <c r="G72" s="35"/>
      <c r="H72" s="35"/>
      <c r="I72" s="35"/>
    </row>
    <row r="73" customFormat="false" ht="16.5" hidden="false" customHeight="true" outlineLevel="0" collapsed="false">
      <c r="B73" s="34" t="s">
        <v>204</v>
      </c>
      <c r="C73" s="34"/>
      <c r="D73" s="34"/>
      <c r="E73" s="34"/>
      <c r="F73" s="34"/>
      <c r="G73" s="34"/>
      <c r="H73" s="34"/>
      <c r="I73" s="34"/>
    </row>
    <row r="74" customFormat="false" ht="30" hidden="false" customHeight="true" outlineLevel="0" collapsed="false">
      <c r="B74" s="35" t="s">
        <v>205</v>
      </c>
      <c r="C74" s="35"/>
      <c r="D74" s="35"/>
      <c r="E74" s="35"/>
      <c r="F74" s="35"/>
      <c r="G74" s="35"/>
      <c r="H74" s="35"/>
      <c r="I74" s="35"/>
    </row>
    <row r="76" customFormat="false" ht="15" hidden="false" customHeight="false" outlineLevel="0" collapsed="false">
      <c r="B76" s="27" t="s">
        <v>206</v>
      </c>
      <c r="C76" s="28"/>
      <c r="D76" s="28"/>
      <c r="E76" s="28"/>
      <c r="F76" s="28"/>
      <c r="G76" s="28"/>
      <c r="H76" s="28"/>
      <c r="I76" s="28"/>
    </row>
    <row r="77" customFormat="false" ht="16.5" hidden="false" customHeight="true" outlineLevel="0" collapsed="false">
      <c r="B77" s="29" t="s">
        <v>207</v>
      </c>
      <c r="C77" s="29"/>
      <c r="D77" s="29"/>
      <c r="E77" s="29"/>
      <c r="F77" s="29"/>
      <c r="G77" s="29"/>
      <c r="H77" s="29"/>
      <c r="I77" s="29"/>
    </row>
    <row r="78" customFormat="false" ht="16.5" hidden="false" customHeight="true" outlineLevel="0" collapsed="false">
      <c r="B78" s="29" t="s">
        <v>208</v>
      </c>
      <c r="C78" s="29"/>
      <c r="D78" s="29"/>
      <c r="E78" s="29"/>
      <c r="F78" s="29"/>
      <c r="G78" s="29"/>
      <c r="H78" s="29"/>
      <c r="I78" s="29"/>
    </row>
    <row r="79" customFormat="false" ht="30" hidden="false" customHeight="true" outlineLevel="0" collapsed="false">
      <c r="B79" s="29" t="s">
        <v>209</v>
      </c>
      <c r="C79" s="29"/>
      <c r="D79" s="29"/>
      <c r="E79" s="29"/>
      <c r="F79" s="29"/>
      <c r="G79" s="29"/>
      <c r="H79" s="29"/>
      <c r="I79" s="29"/>
    </row>
    <row r="80" customFormat="false" ht="16.5" hidden="false" customHeight="true" outlineLevel="0" collapsed="false">
      <c r="B80" s="29" t="s">
        <v>210</v>
      </c>
      <c r="C80" s="29"/>
      <c r="D80" s="29"/>
      <c r="E80" s="29"/>
      <c r="F80" s="29"/>
      <c r="G80" s="29"/>
      <c r="H80" s="29"/>
      <c r="I80" s="29"/>
    </row>
    <row r="81" customFormat="false" ht="16.5" hidden="false" customHeight="true" outlineLevel="0" collapsed="false">
      <c r="B81" s="29" t="s">
        <v>211</v>
      </c>
      <c r="C81" s="29"/>
      <c r="D81" s="29"/>
      <c r="E81" s="29"/>
      <c r="F81" s="29"/>
      <c r="G81" s="29"/>
      <c r="H81" s="29"/>
      <c r="I81" s="29"/>
    </row>
    <row r="83" customFormat="false" ht="15" hidden="false" customHeight="false" outlineLevel="0" collapsed="false">
      <c r="B83" s="27" t="s">
        <v>212</v>
      </c>
      <c r="C83" s="28"/>
      <c r="D83" s="28"/>
      <c r="E83" s="28"/>
      <c r="F83" s="28"/>
      <c r="G83" s="28"/>
      <c r="H83" s="28"/>
      <c r="I83" s="28"/>
    </row>
    <row r="84" customFormat="false" ht="16.5" hidden="false" customHeight="true" outlineLevel="0" collapsed="false">
      <c r="B84" s="36" t="s">
        <v>213</v>
      </c>
      <c r="C84" s="36"/>
      <c r="D84" s="36"/>
      <c r="E84" s="36"/>
      <c r="F84" s="36"/>
      <c r="G84" s="36"/>
      <c r="H84" s="36"/>
      <c r="I84" s="36"/>
    </row>
    <row r="85" customFormat="false" ht="30" hidden="false" customHeight="true" outlineLevel="0" collapsed="false">
      <c r="B85" s="37" t="s">
        <v>214</v>
      </c>
      <c r="C85" s="37"/>
      <c r="D85" s="37"/>
      <c r="E85" s="37"/>
      <c r="F85" s="37"/>
      <c r="G85" s="37"/>
      <c r="H85" s="37"/>
      <c r="I85" s="37"/>
    </row>
    <row r="86" customFormat="false" ht="16.5" hidden="false" customHeight="true" outlineLevel="0" collapsed="false">
      <c r="B86" s="36" t="s">
        <v>215</v>
      </c>
      <c r="C86" s="36"/>
      <c r="D86" s="36"/>
      <c r="E86" s="36"/>
      <c r="F86" s="36"/>
      <c r="G86" s="36"/>
      <c r="H86" s="36"/>
      <c r="I86" s="36"/>
    </row>
    <row r="87" customFormat="false" ht="30" hidden="false" customHeight="true" outlineLevel="0" collapsed="false">
      <c r="B87" s="37" t="s">
        <v>216</v>
      </c>
      <c r="C87" s="37"/>
      <c r="D87" s="37"/>
      <c r="E87" s="37"/>
      <c r="F87" s="37"/>
      <c r="G87" s="37"/>
      <c r="H87" s="37"/>
      <c r="I87" s="37"/>
    </row>
    <row r="88" customFormat="false" ht="16.5" hidden="false" customHeight="true" outlineLevel="0" collapsed="false">
      <c r="B88" s="36" t="s">
        <v>217</v>
      </c>
      <c r="C88" s="36"/>
      <c r="D88" s="36"/>
      <c r="E88" s="36"/>
      <c r="F88" s="36"/>
      <c r="G88" s="36"/>
      <c r="H88" s="36"/>
      <c r="I88" s="36"/>
    </row>
    <row r="89" customFormat="false" ht="30" hidden="false" customHeight="true" outlineLevel="0" collapsed="false">
      <c r="B89" s="37" t="s">
        <v>218</v>
      </c>
      <c r="C89" s="37"/>
      <c r="D89" s="37"/>
      <c r="E89" s="37"/>
      <c r="F89" s="37"/>
      <c r="G89" s="37"/>
      <c r="H89" s="37"/>
      <c r="I89" s="37"/>
    </row>
    <row r="90" customFormat="false" ht="16.5" hidden="false" customHeight="true" outlineLevel="0" collapsed="false">
      <c r="B90" s="36" t="s">
        <v>219</v>
      </c>
      <c r="C90" s="36"/>
      <c r="D90" s="36"/>
      <c r="E90" s="36"/>
      <c r="F90" s="36"/>
      <c r="G90" s="36"/>
      <c r="H90" s="36"/>
      <c r="I90" s="36"/>
    </row>
    <row r="91" customFormat="false" ht="30" hidden="false" customHeight="true" outlineLevel="0" collapsed="false">
      <c r="B91" s="37" t="s">
        <v>220</v>
      </c>
      <c r="C91" s="37"/>
      <c r="D91" s="37"/>
      <c r="E91" s="37"/>
      <c r="F91" s="37"/>
      <c r="G91" s="37"/>
      <c r="H91" s="37"/>
      <c r="I91" s="37"/>
    </row>
    <row r="92" customFormat="false" ht="16.5" hidden="false" customHeight="true" outlineLevel="0" collapsed="false">
      <c r="B92" s="36" t="s">
        <v>221</v>
      </c>
      <c r="C92" s="36"/>
      <c r="D92" s="36"/>
      <c r="E92" s="36"/>
      <c r="F92" s="36"/>
      <c r="G92" s="36"/>
      <c r="H92" s="36"/>
      <c r="I92" s="36"/>
    </row>
    <row r="93" customFormat="false" ht="30" hidden="false" customHeight="true" outlineLevel="0" collapsed="false">
      <c r="B93" s="37" t="s">
        <v>222</v>
      </c>
      <c r="C93" s="37"/>
      <c r="D93" s="37"/>
      <c r="E93" s="37"/>
      <c r="F93" s="37"/>
      <c r="G93" s="37"/>
      <c r="H93" s="37"/>
      <c r="I93" s="37"/>
    </row>
  </sheetData>
  <mergeCells count="41">
    <mergeCell ref="B4:I4"/>
    <mergeCell ref="B7:I7"/>
    <mergeCell ref="B8:I8"/>
    <mergeCell ref="B9:I9"/>
    <mergeCell ref="B10:I10"/>
    <mergeCell ref="B13:I13"/>
    <mergeCell ref="B14:I14"/>
    <mergeCell ref="B15:I15"/>
    <mergeCell ref="B16:I16"/>
    <mergeCell ref="C20:I20"/>
    <mergeCell ref="C21:I21"/>
    <mergeCell ref="C22:I22"/>
    <mergeCell ref="C23:I23"/>
    <mergeCell ref="C24:I24"/>
    <mergeCell ref="C25:I25"/>
    <mergeCell ref="C26:I26"/>
    <mergeCell ref="B46:I46"/>
    <mergeCell ref="B64:I64"/>
    <mergeCell ref="B67:I67"/>
    <mergeCell ref="B68:I68"/>
    <mergeCell ref="B69:I69"/>
    <mergeCell ref="B70:I70"/>
    <mergeCell ref="B71:I71"/>
    <mergeCell ref="B72:I72"/>
    <mergeCell ref="B73:I73"/>
    <mergeCell ref="B74:I74"/>
    <mergeCell ref="B77:I77"/>
    <mergeCell ref="B78:I78"/>
    <mergeCell ref="B79:I79"/>
    <mergeCell ref="B80:I80"/>
    <mergeCell ref="B81:I81"/>
    <mergeCell ref="B84:I84"/>
    <mergeCell ref="B85:I85"/>
    <mergeCell ref="B86:I86"/>
    <mergeCell ref="B87:I87"/>
    <mergeCell ref="B88:I88"/>
    <mergeCell ref="B89:I89"/>
    <mergeCell ref="B90:I90"/>
    <mergeCell ref="B91:I91"/>
    <mergeCell ref="B92:I92"/>
    <mergeCell ref="B93:I93"/>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25" t="s">
        <v>223</v>
      </c>
      <c r="I1" s="26" t="s">
        <v>164</v>
      </c>
    </row>
    <row r="2" customFormat="false" ht="15" hidden="false" customHeight="false" outlineLevel="0" collapsed="false">
      <c r="B2" s="38" t="s">
        <v>224</v>
      </c>
    </row>
    <row r="4" customFormat="false" ht="15" hidden="false" customHeight="false" outlineLevel="0" collapsed="false">
      <c r="B4" s="27" t="s">
        <v>225</v>
      </c>
      <c r="C4" s="28"/>
      <c r="D4" s="28"/>
      <c r="E4" s="28"/>
      <c r="F4" s="28"/>
      <c r="G4" s="28"/>
      <c r="H4" s="28"/>
      <c r="I4" s="28"/>
    </row>
    <row r="5" customFormat="false" ht="43.5" hidden="false" customHeight="true" outlineLevel="0" collapsed="false">
      <c r="B5" s="29" t="s">
        <v>226</v>
      </c>
      <c r="C5" s="29"/>
      <c r="D5" s="29"/>
      <c r="E5" s="29"/>
      <c r="F5" s="29"/>
      <c r="G5" s="29"/>
      <c r="H5" s="29"/>
      <c r="I5" s="29"/>
    </row>
    <row r="7" customFormat="false" ht="15" hidden="false" customHeight="false" outlineLevel="0" collapsed="false">
      <c r="B7" s="27" t="s">
        <v>227</v>
      </c>
      <c r="C7" s="28"/>
      <c r="D7" s="28"/>
      <c r="E7" s="28"/>
      <c r="F7" s="28"/>
      <c r="G7" s="28"/>
      <c r="H7" s="28"/>
      <c r="I7" s="28"/>
    </row>
    <row r="8" customFormat="false" ht="16.5" hidden="false" customHeight="true" outlineLevel="0" collapsed="false">
      <c r="B8" s="29" t="s">
        <v>228</v>
      </c>
      <c r="C8" s="29"/>
      <c r="D8" s="29"/>
      <c r="E8" s="29"/>
      <c r="F8" s="29"/>
      <c r="G8" s="29"/>
      <c r="H8" s="29"/>
      <c r="I8" s="29"/>
    </row>
    <row r="9" customFormat="false" ht="16.5" hidden="false" customHeight="true" outlineLevel="0" collapsed="false">
      <c r="B9" s="29" t="s">
        <v>229</v>
      </c>
      <c r="C9" s="29"/>
      <c r="D9" s="29"/>
      <c r="E9" s="29"/>
      <c r="F9" s="29"/>
      <c r="G9" s="29"/>
      <c r="H9" s="29"/>
      <c r="I9" s="29"/>
    </row>
    <row r="10" customFormat="false" ht="16.5" hidden="false" customHeight="true" outlineLevel="0" collapsed="false">
      <c r="B10" s="29" t="s">
        <v>230</v>
      </c>
      <c r="C10" s="29"/>
      <c r="D10" s="29"/>
      <c r="E10" s="29"/>
      <c r="F10" s="29"/>
      <c r="G10" s="29"/>
      <c r="H10" s="29"/>
      <c r="I10" s="29"/>
    </row>
    <row r="11" customFormat="false" ht="16.5" hidden="false" customHeight="true" outlineLevel="0" collapsed="false">
      <c r="B11" s="29" t="s">
        <v>231</v>
      </c>
      <c r="C11" s="29"/>
      <c r="D11" s="29"/>
      <c r="E11" s="29"/>
      <c r="F11" s="29"/>
      <c r="G11" s="29"/>
      <c r="H11" s="29"/>
      <c r="I11" s="29"/>
    </row>
    <row r="13" customFormat="false" ht="15" hidden="false" customHeight="false" outlineLevel="0" collapsed="false">
      <c r="B13" s="27" t="s">
        <v>232</v>
      </c>
      <c r="C13" s="28"/>
      <c r="D13" s="28"/>
      <c r="E13" s="28"/>
      <c r="F13" s="28"/>
      <c r="G13" s="28"/>
      <c r="H13" s="28"/>
      <c r="I13" s="28"/>
    </row>
    <row r="14" customFormat="false" ht="15" hidden="false" customHeight="false" outlineLevel="0" collapsed="false">
      <c r="B14" s="12" t="s">
        <v>233</v>
      </c>
      <c r="C14" s="30" t="s">
        <v>18</v>
      </c>
      <c r="D14" s="30" t="s">
        <v>234</v>
      </c>
    </row>
    <row r="15" customFormat="false" ht="15" hidden="false" customHeight="false" outlineLevel="0" collapsed="false">
      <c r="B15" s="16" t="s">
        <v>235</v>
      </c>
      <c r="C15" s="39" t="n">
        <v>50</v>
      </c>
    </row>
    <row r="16" customFormat="false" ht="15" hidden="false" customHeight="false" outlineLevel="0" collapsed="false">
      <c r="B16" s="16" t="s">
        <v>236</v>
      </c>
      <c r="C16" s="40" t="n">
        <v>0.012</v>
      </c>
    </row>
    <row r="17" customFormat="false" ht="15" hidden="false" customHeight="false" outlineLevel="0" collapsed="false">
      <c r="B17" s="16" t="s">
        <v>237</v>
      </c>
      <c r="C17" s="40" t="n">
        <v>0.0005</v>
      </c>
    </row>
    <row r="18" customFormat="false" ht="15" hidden="false" customHeight="false" outlineLevel="0" collapsed="false">
      <c r="B18" s="16" t="s">
        <v>238</v>
      </c>
      <c r="C18" s="41" t="n">
        <v>1.645</v>
      </c>
      <c r="D18" s="6" t="s">
        <v>239</v>
      </c>
    </row>
    <row r="19" customFormat="false" ht="15" hidden="false" customHeight="false" outlineLevel="0" collapsed="false">
      <c r="B19" s="16" t="s">
        <v>240</v>
      </c>
      <c r="C19" s="41" t="n">
        <v>2.326</v>
      </c>
      <c r="D19" s="6" t="s">
        <v>241</v>
      </c>
    </row>
    <row r="20" customFormat="false" ht="15" hidden="false" customHeight="false" outlineLevel="0" collapsed="false">
      <c r="B20" s="16" t="s">
        <v>242</v>
      </c>
      <c r="C20" s="42" t="n">
        <v>10</v>
      </c>
    </row>
    <row r="22" customFormat="false" ht="15" hidden="false" customHeight="false" outlineLevel="0" collapsed="false">
      <c r="B22" s="43" t="s">
        <v>243</v>
      </c>
      <c r="C22" s="44"/>
      <c r="D22" s="44"/>
      <c r="E22" s="44"/>
      <c r="F22" s="44"/>
      <c r="G22" s="44"/>
      <c r="H22" s="44"/>
      <c r="I22" s="44"/>
    </row>
    <row r="23" customFormat="false" ht="15" hidden="false" customHeight="false" outlineLevel="0" collapsed="false">
      <c r="B23" s="16" t="s">
        <v>244</v>
      </c>
      <c r="C23" s="45" t="n">
        <f aca="false">$C$18*$C$16*$C$15</f>
        <v>0.987</v>
      </c>
    </row>
    <row r="24" customFormat="false" ht="15" hidden="false" customHeight="false" outlineLevel="0" collapsed="false">
      <c r="B24" s="16" t="s">
        <v>245</v>
      </c>
      <c r="C24" s="45" t="n">
        <f aca="false">$C$19*$C$16*$C$15</f>
        <v>1.3956</v>
      </c>
    </row>
    <row r="25" customFormat="false" ht="15" hidden="false" customHeight="false" outlineLevel="0" collapsed="false">
      <c r="B25" s="16" t="s">
        <v>246</v>
      </c>
      <c r="C25" s="45" t="n">
        <f aca="false">$C$24*SQRT($C$20)</f>
        <v>4.41327470253099</v>
      </c>
    </row>
    <row r="26" customFormat="false" ht="15" hidden="false" customHeight="false" outlineLevel="0" collapsed="false">
      <c r="B26" s="16" t="s">
        <v>247</v>
      </c>
      <c r="C26" s="45" t="n">
        <f aca="false">($C$19*$C$16-$C$17)*$C$15</f>
        <v>1.3706</v>
      </c>
    </row>
    <row r="27" customFormat="false" ht="15" hidden="false" customHeight="false" outlineLevel="0" collapsed="false">
      <c r="B27" s="16" t="s">
        <v>248</v>
      </c>
      <c r="C27" s="46" t="n">
        <f aca="false">1-$C$26/$C$24</f>
        <v>0.0179134422470623</v>
      </c>
    </row>
    <row r="29" customFormat="false" ht="15" hidden="false" customHeight="false" outlineLevel="0" collapsed="false">
      <c r="B29" s="43" t="s">
        <v>249</v>
      </c>
      <c r="C29" s="44"/>
      <c r="D29" s="44"/>
      <c r="E29" s="44"/>
      <c r="F29" s="44"/>
      <c r="G29" s="44"/>
      <c r="H29" s="44"/>
      <c r="I29" s="44"/>
    </row>
    <row r="30" customFormat="false" ht="30" hidden="false" customHeight="true" outlineLevel="0" collapsed="false">
      <c r="B30" s="47" t="s">
        <v>250</v>
      </c>
      <c r="C30" s="47"/>
      <c r="D30" s="47"/>
      <c r="E30" s="47"/>
      <c r="F30" s="47"/>
      <c r="G30" s="47"/>
      <c r="H30" s="47"/>
      <c r="I30" s="47"/>
    </row>
    <row r="31" customFormat="false" ht="30" hidden="false" customHeight="true" outlineLevel="0" collapsed="false">
      <c r="B31" s="47" t="s">
        <v>251</v>
      </c>
      <c r="C31" s="47"/>
      <c r="D31" s="47"/>
      <c r="E31" s="47"/>
      <c r="F31" s="47"/>
      <c r="G31" s="47"/>
      <c r="H31" s="47"/>
      <c r="I31" s="47"/>
    </row>
    <row r="32" customFormat="false" ht="16.5" hidden="false" customHeight="true" outlineLevel="0" collapsed="false">
      <c r="B32" s="48" t="s">
        <v>252</v>
      </c>
      <c r="C32" s="48"/>
      <c r="D32" s="48"/>
      <c r="E32" s="48"/>
      <c r="F32" s="48"/>
      <c r="G32" s="48"/>
      <c r="H32" s="48"/>
      <c r="I32" s="48"/>
    </row>
  </sheetData>
  <mergeCells count="8">
    <mergeCell ref="B5:I5"/>
    <mergeCell ref="B8:I8"/>
    <mergeCell ref="B9:I9"/>
    <mergeCell ref="B10:I10"/>
    <mergeCell ref="B11:I11"/>
    <mergeCell ref="B30:I30"/>
    <mergeCell ref="B31:I31"/>
    <mergeCell ref="B32:I32"/>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25" t="s">
        <v>253</v>
      </c>
      <c r="I1" s="26" t="s">
        <v>164</v>
      </c>
    </row>
    <row r="2" customFormat="false" ht="15" hidden="false" customHeight="false" outlineLevel="0" collapsed="false">
      <c r="B2" s="38" t="s">
        <v>254</v>
      </c>
    </row>
    <row r="4" customFormat="false" ht="15" hidden="false" customHeight="false" outlineLevel="0" collapsed="false">
      <c r="B4" s="27" t="s">
        <v>225</v>
      </c>
      <c r="C4" s="28"/>
      <c r="D4" s="28"/>
      <c r="E4" s="28"/>
      <c r="F4" s="28"/>
      <c r="G4" s="28"/>
      <c r="H4" s="28"/>
      <c r="I4" s="28"/>
    </row>
    <row r="5" customFormat="false" ht="30" hidden="false" customHeight="true" outlineLevel="0" collapsed="false">
      <c r="B5" s="29" t="s">
        <v>255</v>
      </c>
      <c r="C5" s="29"/>
      <c r="D5" s="29"/>
      <c r="E5" s="29"/>
      <c r="F5" s="29"/>
      <c r="G5" s="29"/>
      <c r="H5" s="29"/>
      <c r="I5" s="29"/>
    </row>
    <row r="7" customFormat="false" ht="15" hidden="false" customHeight="false" outlineLevel="0" collapsed="false">
      <c r="B7" s="27" t="s">
        <v>227</v>
      </c>
      <c r="C7" s="28"/>
      <c r="D7" s="28"/>
      <c r="E7" s="28"/>
      <c r="F7" s="28"/>
      <c r="G7" s="28"/>
      <c r="H7" s="28"/>
      <c r="I7" s="28"/>
    </row>
    <row r="8" customFormat="false" ht="16.5" hidden="false" customHeight="true" outlineLevel="0" collapsed="false">
      <c r="B8" s="29" t="s">
        <v>256</v>
      </c>
      <c r="C8" s="29"/>
      <c r="D8" s="29"/>
      <c r="E8" s="29"/>
      <c r="F8" s="29"/>
      <c r="G8" s="29"/>
      <c r="H8" s="29"/>
      <c r="I8" s="29"/>
    </row>
    <row r="9" customFormat="false" ht="16.5" hidden="false" customHeight="true" outlineLevel="0" collapsed="false">
      <c r="B9" s="29" t="s">
        <v>257</v>
      </c>
      <c r="C9" s="29"/>
      <c r="D9" s="29"/>
      <c r="E9" s="29"/>
      <c r="F9" s="29"/>
      <c r="G9" s="29"/>
      <c r="H9" s="29"/>
      <c r="I9" s="29"/>
    </row>
    <row r="10" customFormat="false" ht="16.5" hidden="false" customHeight="true" outlineLevel="0" collapsed="false">
      <c r="B10" s="29" t="s">
        <v>258</v>
      </c>
      <c r="C10" s="29"/>
      <c r="D10" s="29"/>
      <c r="E10" s="29"/>
      <c r="F10" s="29"/>
      <c r="G10" s="29"/>
      <c r="H10" s="29"/>
      <c r="I10" s="29"/>
    </row>
    <row r="11" customFormat="false" ht="16.5" hidden="false" customHeight="true" outlineLevel="0" collapsed="false">
      <c r="B11" s="29" t="s">
        <v>259</v>
      </c>
      <c r="C11" s="29"/>
      <c r="D11" s="29"/>
      <c r="E11" s="29"/>
      <c r="F11" s="29"/>
      <c r="G11" s="29"/>
      <c r="H11" s="29"/>
      <c r="I11" s="29"/>
    </row>
    <row r="13" customFormat="false" ht="15" hidden="false" customHeight="false" outlineLevel="0" collapsed="false">
      <c r="B13" s="27" t="s">
        <v>232</v>
      </c>
      <c r="C13" s="28"/>
      <c r="D13" s="28"/>
      <c r="E13" s="28"/>
      <c r="F13" s="28"/>
      <c r="G13" s="28"/>
      <c r="H13" s="28"/>
      <c r="I13" s="28"/>
    </row>
    <row r="14" customFormat="false" ht="15" hidden="false" customHeight="false" outlineLevel="0" collapsed="false">
      <c r="B14" s="12" t="s">
        <v>233</v>
      </c>
      <c r="C14" s="30" t="s">
        <v>18</v>
      </c>
    </row>
    <row r="15" customFormat="false" ht="15" hidden="false" customHeight="false" outlineLevel="0" collapsed="false">
      <c r="B15" s="16" t="s">
        <v>260</v>
      </c>
      <c r="C15" s="39" t="n">
        <v>60</v>
      </c>
    </row>
    <row r="16" customFormat="false" ht="15" hidden="false" customHeight="false" outlineLevel="0" collapsed="false">
      <c r="B16" s="16" t="s">
        <v>261</v>
      </c>
      <c r="C16" s="40" t="n">
        <v>0.014</v>
      </c>
    </row>
    <row r="17" customFormat="false" ht="15" hidden="false" customHeight="false" outlineLevel="0" collapsed="false">
      <c r="B17" s="16" t="s">
        <v>262</v>
      </c>
      <c r="C17" s="39" t="n">
        <v>40</v>
      </c>
    </row>
    <row r="18" customFormat="false" ht="15" hidden="false" customHeight="false" outlineLevel="0" collapsed="false">
      <c r="B18" s="16" t="s">
        <v>263</v>
      </c>
      <c r="C18" s="40" t="n">
        <v>0.009</v>
      </c>
    </row>
    <row r="19" customFormat="false" ht="15" hidden="false" customHeight="false" outlineLevel="0" collapsed="false">
      <c r="B19" s="16" t="s">
        <v>264</v>
      </c>
      <c r="C19" s="39" t="n">
        <v>-0.1</v>
      </c>
    </row>
    <row r="20" customFormat="false" ht="15" hidden="false" customHeight="false" outlineLevel="0" collapsed="false">
      <c r="B20" s="16" t="s">
        <v>265</v>
      </c>
      <c r="C20" s="39" t="n">
        <v>0.5</v>
      </c>
    </row>
    <row r="21" customFormat="false" ht="15" hidden="false" customHeight="false" outlineLevel="0" collapsed="false">
      <c r="B21" s="16" t="s">
        <v>266</v>
      </c>
      <c r="C21" s="39" t="n">
        <v>1</v>
      </c>
    </row>
    <row r="22" customFormat="false" ht="15" hidden="false" customHeight="false" outlineLevel="0" collapsed="false">
      <c r="B22" s="16" t="s">
        <v>240</v>
      </c>
      <c r="C22" s="41" t="n">
        <v>2.326</v>
      </c>
    </row>
    <row r="24" customFormat="false" ht="15" hidden="false" customHeight="false" outlineLevel="0" collapsed="false">
      <c r="B24" s="43" t="s">
        <v>243</v>
      </c>
      <c r="C24" s="44"/>
      <c r="D24" s="44"/>
      <c r="E24" s="44"/>
      <c r="F24" s="44"/>
      <c r="G24" s="44"/>
      <c r="H24" s="44"/>
      <c r="I24" s="44"/>
    </row>
    <row r="25" customFormat="false" ht="15" hidden="false" customHeight="false" outlineLevel="0" collapsed="false">
      <c r="B25" s="16" t="s">
        <v>267</v>
      </c>
      <c r="C25" s="45" t="n">
        <f aca="false">$C$22*$C$16*$C$15</f>
        <v>1.95384</v>
      </c>
    </row>
    <row r="26" customFormat="false" ht="15" hidden="false" customHeight="false" outlineLevel="0" collapsed="false">
      <c r="B26" s="16" t="s">
        <v>268</v>
      </c>
      <c r="C26" s="45" t="n">
        <f aca="false">$C$22*$C$18*$C$17</f>
        <v>0.83736</v>
      </c>
    </row>
    <row r="27" customFormat="false" ht="15" hidden="false" customHeight="false" outlineLevel="0" collapsed="false">
      <c r="B27" s="16" t="s">
        <v>269</v>
      </c>
      <c r="C27" s="45" t="n">
        <f aca="false">$C$25+$C$26</f>
        <v>2.7912</v>
      </c>
    </row>
    <row r="28" customFormat="false" ht="15" hidden="false" customHeight="false" outlineLevel="0" collapsed="false">
      <c r="B28" s="31" t="s">
        <v>270</v>
      </c>
      <c r="C28" s="49" t="n">
        <f aca="false">SQRT($C$25^2+$C$26^2+2*$C$19*$C$25*$C$26)</f>
        <v>2.04730286541098</v>
      </c>
    </row>
    <row r="29" customFormat="false" ht="15" hidden="false" customHeight="false" outlineLevel="0" collapsed="false">
      <c r="B29" s="16" t="s">
        <v>271</v>
      </c>
      <c r="C29" s="45" t="n">
        <f aca="false">$C$27-$C$28</f>
        <v>0.743897134589022</v>
      </c>
    </row>
    <row r="30" customFormat="false" ht="15" hidden="false" customHeight="false" outlineLevel="0" collapsed="false">
      <c r="B30" s="16" t="s">
        <v>272</v>
      </c>
      <c r="C30" s="46" t="n">
        <f aca="false">$C$29/$C$27</f>
        <v>0.26651516716431</v>
      </c>
    </row>
    <row r="31" customFormat="false" ht="15" hidden="false" customHeight="false" outlineLevel="0" collapsed="false">
      <c r="B31" s="16" t="s">
        <v>273</v>
      </c>
      <c r="C31" s="45" t="n">
        <f aca="false">SQRT($C$25^2+$C$26^2+2*$C$20*$C$25*$C$26)</f>
        <v>2.48087282576113</v>
      </c>
    </row>
    <row r="32" customFormat="false" ht="15" hidden="false" customHeight="false" outlineLevel="0" collapsed="false">
      <c r="B32" s="16" t="s">
        <v>274</v>
      </c>
      <c r="C32" s="45" t="n">
        <f aca="false">SQRT($C$25^2+$C$26^2+2*$C$21*$C$25*$C$26)</f>
        <v>2.7912</v>
      </c>
    </row>
    <row r="34" customFormat="false" ht="15" hidden="false" customHeight="false" outlineLevel="0" collapsed="false">
      <c r="B34" s="43" t="s">
        <v>249</v>
      </c>
      <c r="C34" s="44"/>
      <c r="D34" s="44"/>
      <c r="E34" s="44"/>
      <c r="F34" s="44"/>
      <c r="G34" s="44"/>
      <c r="H34" s="44"/>
      <c r="I34" s="44"/>
    </row>
    <row r="35" customFormat="false" ht="16.5" hidden="false" customHeight="true" outlineLevel="0" collapsed="false">
      <c r="B35" s="47" t="s">
        <v>275</v>
      </c>
      <c r="C35" s="47"/>
      <c r="D35" s="47"/>
      <c r="E35" s="47"/>
      <c r="F35" s="47"/>
      <c r="G35" s="47"/>
      <c r="H35" s="47"/>
      <c r="I35" s="47"/>
    </row>
    <row r="36" customFormat="false" ht="43.5" hidden="false" customHeight="true" outlineLevel="0" collapsed="false">
      <c r="B36" s="47" t="s">
        <v>276</v>
      </c>
      <c r="C36" s="47"/>
      <c r="D36" s="47"/>
      <c r="E36" s="47"/>
      <c r="F36" s="47"/>
      <c r="G36" s="47"/>
      <c r="H36" s="47"/>
      <c r="I36" s="47"/>
    </row>
    <row r="37" customFormat="false" ht="16.5" hidden="false" customHeight="true" outlineLevel="0" collapsed="false">
      <c r="B37" s="48" t="s">
        <v>277</v>
      </c>
      <c r="C37" s="48"/>
      <c r="D37" s="48"/>
      <c r="E37" s="48"/>
      <c r="F37" s="48"/>
      <c r="G37" s="48"/>
      <c r="H37" s="48"/>
      <c r="I37" s="48"/>
    </row>
  </sheetData>
  <mergeCells count="8">
    <mergeCell ref="B5:I5"/>
    <mergeCell ref="B8:I8"/>
    <mergeCell ref="B9:I9"/>
    <mergeCell ref="B10:I10"/>
    <mergeCell ref="B11:I11"/>
    <mergeCell ref="B35:I35"/>
    <mergeCell ref="B36:I36"/>
    <mergeCell ref="B37:I37"/>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25" t="s">
        <v>278</v>
      </c>
      <c r="I1" s="26" t="s">
        <v>164</v>
      </c>
    </row>
    <row r="2" customFormat="false" ht="15" hidden="false" customHeight="false" outlineLevel="0" collapsed="false">
      <c r="B2" s="38" t="s">
        <v>279</v>
      </c>
    </row>
    <row r="4" customFormat="false" ht="15" hidden="false" customHeight="false" outlineLevel="0" collapsed="false">
      <c r="B4" s="27" t="s">
        <v>225</v>
      </c>
      <c r="C4" s="28"/>
      <c r="D4" s="28"/>
      <c r="E4" s="28"/>
      <c r="F4" s="28"/>
      <c r="G4" s="28"/>
      <c r="H4" s="28"/>
      <c r="I4" s="28"/>
    </row>
    <row r="5" customFormat="false" ht="43.5" hidden="false" customHeight="true" outlineLevel="0" collapsed="false">
      <c r="B5" s="29" t="s">
        <v>280</v>
      </c>
      <c r="C5" s="29"/>
      <c r="D5" s="29"/>
      <c r="E5" s="29"/>
      <c r="F5" s="29"/>
      <c r="G5" s="29"/>
      <c r="H5" s="29"/>
      <c r="I5" s="29"/>
    </row>
    <row r="7" customFormat="false" ht="15" hidden="false" customHeight="false" outlineLevel="0" collapsed="false">
      <c r="B7" s="27" t="s">
        <v>227</v>
      </c>
      <c r="C7" s="28"/>
      <c r="D7" s="28"/>
      <c r="E7" s="28"/>
      <c r="F7" s="28"/>
      <c r="G7" s="28"/>
      <c r="H7" s="28"/>
      <c r="I7" s="28"/>
    </row>
    <row r="8" customFormat="false" ht="16.5" hidden="false" customHeight="true" outlineLevel="0" collapsed="false">
      <c r="B8" s="29" t="s">
        <v>281</v>
      </c>
      <c r="C8" s="29"/>
      <c r="D8" s="29"/>
      <c r="E8" s="29"/>
      <c r="F8" s="29"/>
      <c r="G8" s="29"/>
      <c r="H8" s="29"/>
      <c r="I8" s="29"/>
    </row>
    <row r="9" customFormat="false" ht="16.5" hidden="false" customHeight="true" outlineLevel="0" collapsed="false">
      <c r="B9" s="29" t="s">
        <v>282</v>
      </c>
      <c r="C9" s="29"/>
      <c r="D9" s="29"/>
      <c r="E9" s="29"/>
      <c r="F9" s="29"/>
      <c r="G9" s="29"/>
      <c r="H9" s="29"/>
      <c r="I9" s="29"/>
    </row>
    <row r="10" customFormat="false" ht="16.5" hidden="false" customHeight="true" outlineLevel="0" collapsed="false">
      <c r="B10" s="29" t="s">
        <v>283</v>
      </c>
      <c r="C10" s="29"/>
      <c r="D10" s="29"/>
      <c r="E10" s="29"/>
      <c r="F10" s="29"/>
      <c r="G10" s="29"/>
      <c r="H10" s="29"/>
      <c r="I10" s="29"/>
    </row>
    <row r="11" customFormat="false" ht="16.5" hidden="false" customHeight="true" outlineLevel="0" collapsed="false">
      <c r="B11" s="29" t="s">
        <v>284</v>
      </c>
      <c r="C11" s="29"/>
      <c r="D11" s="29"/>
      <c r="E11" s="29"/>
      <c r="F11" s="29"/>
      <c r="G11" s="29"/>
      <c r="H11" s="29"/>
      <c r="I11" s="29"/>
    </row>
    <row r="12" customFormat="false" ht="16.5" hidden="false" customHeight="true" outlineLevel="0" collapsed="false">
      <c r="B12" s="29" t="s">
        <v>285</v>
      </c>
      <c r="C12" s="29"/>
      <c r="D12" s="29"/>
      <c r="E12" s="29"/>
      <c r="F12" s="29"/>
      <c r="G12" s="29"/>
      <c r="H12" s="29"/>
      <c r="I12" s="29"/>
    </row>
    <row r="14" customFormat="false" ht="15" hidden="false" customHeight="false" outlineLevel="0" collapsed="false">
      <c r="B14" s="27" t="s">
        <v>232</v>
      </c>
      <c r="C14" s="28"/>
      <c r="D14" s="28"/>
      <c r="E14" s="28"/>
      <c r="F14" s="28"/>
      <c r="G14" s="28"/>
      <c r="H14" s="28"/>
      <c r="I14" s="28"/>
    </row>
    <row r="15" customFormat="false" ht="15" hidden="false" customHeight="false" outlineLevel="0" collapsed="false">
      <c r="B15" s="12" t="s">
        <v>233</v>
      </c>
      <c r="C15" s="30" t="s">
        <v>18</v>
      </c>
    </row>
    <row r="16" customFormat="false" ht="15" hidden="false" customHeight="false" outlineLevel="0" collapsed="false">
      <c r="B16" s="16" t="s">
        <v>235</v>
      </c>
      <c r="C16" s="39" t="n">
        <v>80</v>
      </c>
    </row>
    <row r="17" customFormat="false" ht="15" hidden="false" customHeight="false" outlineLevel="0" collapsed="false">
      <c r="B17" s="16" t="s">
        <v>286</v>
      </c>
      <c r="C17" s="42" t="n">
        <v>5</v>
      </c>
    </row>
    <row r="18" customFormat="false" ht="15" hidden="false" customHeight="false" outlineLevel="0" collapsed="false">
      <c r="B18" s="16" t="s">
        <v>287</v>
      </c>
      <c r="C18" s="42" t="n">
        <v>12</v>
      </c>
    </row>
    <row r="19" customFormat="false" ht="15" hidden="false" customHeight="false" outlineLevel="0" collapsed="false">
      <c r="B19" s="16" t="s">
        <v>288</v>
      </c>
      <c r="C19" s="40" t="n">
        <v>0.015</v>
      </c>
    </row>
    <row r="20" customFormat="false" ht="15" hidden="false" customHeight="false" outlineLevel="0" collapsed="false">
      <c r="B20" s="16" t="s">
        <v>240</v>
      </c>
      <c r="C20" s="41" t="n">
        <v>2.326</v>
      </c>
    </row>
    <row r="22" customFormat="false" ht="15" hidden="false" customHeight="false" outlineLevel="0" collapsed="false">
      <c r="B22" s="12" t="s">
        <v>289</v>
      </c>
      <c r="C22" s="30" t="s">
        <v>290</v>
      </c>
    </row>
    <row r="23" customFormat="false" ht="15" hidden="false" customHeight="false" outlineLevel="0" collapsed="false">
      <c r="B23" s="50" t="n">
        <v>1</v>
      </c>
      <c r="C23" s="51" t="n">
        <v>-0.0685</v>
      </c>
    </row>
    <row r="24" customFormat="false" ht="15" hidden="false" customHeight="false" outlineLevel="0" collapsed="false">
      <c r="B24" s="50" t="n">
        <v>2</v>
      </c>
      <c r="C24" s="51" t="n">
        <v>-0.0592</v>
      </c>
    </row>
    <row r="25" customFormat="false" ht="15" hidden="false" customHeight="false" outlineLevel="0" collapsed="false">
      <c r="B25" s="50" t="n">
        <v>3</v>
      </c>
      <c r="C25" s="51" t="n">
        <v>-0.051</v>
      </c>
    </row>
    <row r="26" customFormat="false" ht="15" hidden="false" customHeight="false" outlineLevel="0" collapsed="false">
      <c r="B26" s="50" t="n">
        <v>4</v>
      </c>
      <c r="C26" s="51" t="n">
        <v>-0.0478</v>
      </c>
    </row>
    <row r="27" customFormat="false" ht="15" hidden="false" customHeight="false" outlineLevel="0" collapsed="false">
      <c r="B27" s="50" t="n">
        <v>5</v>
      </c>
      <c r="C27" s="51" t="n">
        <v>-0.0441</v>
      </c>
    </row>
    <row r="28" customFormat="false" ht="15" hidden="false" customHeight="false" outlineLevel="0" collapsed="false">
      <c r="B28" s="50" t="n">
        <v>6</v>
      </c>
      <c r="C28" s="51" t="n">
        <v>-0.0405</v>
      </c>
    </row>
    <row r="29" customFormat="false" ht="15" hidden="false" customHeight="false" outlineLevel="0" collapsed="false">
      <c r="B29" s="50" t="n">
        <v>7</v>
      </c>
      <c r="C29" s="51" t="n">
        <v>-0.0388</v>
      </c>
    </row>
    <row r="30" customFormat="false" ht="15" hidden="false" customHeight="false" outlineLevel="0" collapsed="false">
      <c r="B30" s="50" t="n">
        <v>8</v>
      </c>
      <c r="C30" s="51" t="n">
        <v>-0.0362</v>
      </c>
    </row>
    <row r="31" customFormat="false" ht="15" hidden="false" customHeight="false" outlineLevel="0" collapsed="false">
      <c r="B31" s="50" t="n">
        <v>9</v>
      </c>
      <c r="C31" s="51" t="n">
        <v>-0.0345</v>
      </c>
    </row>
    <row r="32" customFormat="false" ht="15" hidden="false" customHeight="false" outlineLevel="0" collapsed="false">
      <c r="B32" s="50" t="n">
        <v>10</v>
      </c>
      <c r="C32" s="51" t="n">
        <v>-0.0331</v>
      </c>
    </row>
    <row r="33" customFormat="false" ht="15" hidden="false" customHeight="false" outlineLevel="0" collapsed="false">
      <c r="B33" s="50" t="n">
        <v>11</v>
      </c>
      <c r="C33" s="51" t="n">
        <v>-0.032</v>
      </c>
    </row>
    <row r="34" customFormat="false" ht="15" hidden="false" customHeight="false" outlineLevel="0" collapsed="false">
      <c r="B34" s="50" t="n">
        <v>12</v>
      </c>
      <c r="C34" s="51" t="n">
        <v>-0.0312</v>
      </c>
    </row>
    <row r="35" customFormat="false" ht="15" hidden="false" customHeight="false" outlineLevel="0" collapsed="false">
      <c r="B35" s="50" t="n">
        <v>13</v>
      </c>
      <c r="C35" s="51" t="n">
        <v>-0.0302</v>
      </c>
    </row>
    <row r="36" customFormat="false" ht="15" hidden="false" customHeight="false" outlineLevel="0" collapsed="false">
      <c r="B36" s="50" t="n">
        <v>14</v>
      </c>
      <c r="C36" s="51" t="n">
        <v>-0.0295</v>
      </c>
    </row>
    <row r="37" customFormat="false" ht="15" hidden="false" customHeight="false" outlineLevel="0" collapsed="false">
      <c r="B37" s="50" t="n">
        <v>15</v>
      </c>
      <c r="C37" s="51" t="n">
        <v>-0.0288</v>
      </c>
    </row>
    <row r="39" customFormat="false" ht="15" hidden="false" customHeight="false" outlineLevel="0" collapsed="false">
      <c r="B39" s="43" t="s">
        <v>243</v>
      </c>
      <c r="C39" s="44"/>
      <c r="D39" s="44"/>
      <c r="E39" s="44"/>
      <c r="F39" s="44"/>
      <c r="G39" s="44"/>
      <c r="H39" s="44"/>
      <c r="I39" s="44"/>
    </row>
    <row r="40" customFormat="false" ht="15" hidden="false" customHeight="false" outlineLevel="0" collapsed="false">
      <c r="B40" s="16" t="s">
        <v>291</v>
      </c>
      <c r="C40" s="46" t="n">
        <f aca="false">-SMALL($C$23:$C$37,$C$17)</f>
        <v>0.0441</v>
      </c>
    </row>
    <row r="41" customFormat="false" ht="15" hidden="false" customHeight="false" outlineLevel="0" collapsed="false">
      <c r="B41" s="31" t="s">
        <v>292</v>
      </c>
      <c r="C41" s="49" t="n">
        <f aca="false">$C$40*$C$16</f>
        <v>3.528</v>
      </c>
    </row>
    <row r="42" customFormat="false" ht="15" hidden="false" customHeight="false" outlineLevel="0" collapsed="false">
      <c r="B42" s="16" t="s">
        <v>293</v>
      </c>
      <c r="C42" s="46" t="n">
        <f aca="false">-SUMPRODUCT(($C$23:$C$37&lt;=SMALL($C$23:$C$37,$C$17))*$C$23:$C$37)/$C$17</f>
        <v>0.05412</v>
      </c>
    </row>
    <row r="43" customFormat="false" ht="15" hidden="false" customHeight="false" outlineLevel="0" collapsed="false">
      <c r="B43" s="16" t="s">
        <v>294</v>
      </c>
      <c r="C43" s="45" t="n">
        <f aca="false">$C$42*$C$16</f>
        <v>4.3296</v>
      </c>
    </row>
    <row r="44" customFormat="false" ht="15" hidden="false" customHeight="false" outlineLevel="0" collapsed="false">
      <c r="B44" s="16" t="s">
        <v>295</v>
      </c>
      <c r="C44" s="46" t="n">
        <f aca="false">-SUMPRODUCT(($C$23:$C$37&lt;=SMALL($C$23:$C$37,$C$18))*$C$23:$C$37)/$C$18</f>
        <v>0.043075</v>
      </c>
    </row>
    <row r="45" customFormat="false" ht="15" hidden="false" customHeight="false" outlineLevel="0" collapsed="false">
      <c r="B45" s="16" t="s">
        <v>296</v>
      </c>
      <c r="C45" s="45" t="n">
        <f aca="false">$C$44*$C$16</f>
        <v>3.446</v>
      </c>
    </row>
    <row r="46" customFormat="false" ht="15" hidden="false" customHeight="false" outlineLevel="0" collapsed="false">
      <c r="B46" s="16" t="s">
        <v>297</v>
      </c>
      <c r="C46" s="46" t="n">
        <f aca="false">$C$20*$C$19</f>
        <v>0.03489</v>
      </c>
    </row>
    <row r="47" customFormat="false" ht="15" hidden="false" customHeight="false" outlineLevel="0" collapsed="false">
      <c r="B47" s="16" t="s">
        <v>298</v>
      </c>
      <c r="C47" s="45" t="n">
        <f aca="false">$C$46*$C$16</f>
        <v>2.7912</v>
      </c>
    </row>
    <row r="48" customFormat="false" ht="15" hidden="false" customHeight="false" outlineLevel="0" collapsed="false">
      <c r="B48" s="16" t="s">
        <v>299</v>
      </c>
      <c r="C48" s="45" t="n">
        <f aca="false">$C$41-$C$47</f>
        <v>0.7368</v>
      </c>
    </row>
    <row r="50" customFormat="false" ht="15" hidden="false" customHeight="false" outlineLevel="0" collapsed="false">
      <c r="B50" s="43" t="s">
        <v>249</v>
      </c>
      <c r="C50" s="44"/>
      <c r="D50" s="44"/>
      <c r="E50" s="44"/>
      <c r="F50" s="44"/>
      <c r="G50" s="44"/>
      <c r="H50" s="44"/>
      <c r="I50" s="44"/>
    </row>
    <row r="51" customFormat="false" ht="43.5" hidden="false" customHeight="true" outlineLevel="0" collapsed="false">
      <c r="B51" s="47" t="s">
        <v>300</v>
      </c>
      <c r="C51" s="47"/>
      <c r="D51" s="47"/>
      <c r="E51" s="47"/>
      <c r="F51" s="47"/>
      <c r="G51" s="47"/>
      <c r="H51" s="47"/>
      <c r="I51" s="47"/>
    </row>
    <row r="52" customFormat="false" ht="30" hidden="false" customHeight="true" outlineLevel="0" collapsed="false">
      <c r="B52" s="47" t="s">
        <v>301</v>
      </c>
      <c r="C52" s="47"/>
      <c r="D52" s="47"/>
      <c r="E52" s="47"/>
      <c r="F52" s="47"/>
      <c r="G52" s="47"/>
      <c r="H52" s="47"/>
      <c r="I52" s="47"/>
    </row>
    <row r="53" customFormat="false" ht="16.5" hidden="false" customHeight="true" outlineLevel="0" collapsed="false">
      <c r="B53" s="48" t="s">
        <v>302</v>
      </c>
      <c r="C53" s="48"/>
      <c r="D53" s="48"/>
      <c r="E53" s="48"/>
      <c r="F53" s="48"/>
      <c r="G53" s="48"/>
      <c r="H53" s="48"/>
      <c r="I53" s="48"/>
    </row>
  </sheetData>
  <mergeCells count="9">
    <mergeCell ref="B5:I5"/>
    <mergeCell ref="B8:I8"/>
    <mergeCell ref="B9:I9"/>
    <mergeCell ref="B10:I10"/>
    <mergeCell ref="B11:I11"/>
    <mergeCell ref="B12:I12"/>
    <mergeCell ref="B51:I51"/>
    <mergeCell ref="B52:I52"/>
    <mergeCell ref="B53:I53"/>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25" t="s">
        <v>303</v>
      </c>
      <c r="I1" s="26" t="s">
        <v>164</v>
      </c>
    </row>
    <row r="2" customFormat="false" ht="15" hidden="false" customHeight="false" outlineLevel="0" collapsed="false">
      <c r="B2" s="38" t="s">
        <v>304</v>
      </c>
    </row>
    <row r="4" customFormat="false" ht="15" hidden="false" customHeight="false" outlineLevel="0" collapsed="false">
      <c r="B4" s="27" t="s">
        <v>225</v>
      </c>
      <c r="C4" s="28"/>
      <c r="D4" s="28"/>
      <c r="E4" s="28"/>
      <c r="F4" s="28"/>
      <c r="G4" s="28"/>
      <c r="H4" s="28"/>
      <c r="I4" s="28"/>
    </row>
    <row r="5" customFormat="false" ht="43.5" hidden="false" customHeight="true" outlineLevel="0" collapsed="false">
      <c r="B5" s="29" t="s">
        <v>305</v>
      </c>
      <c r="C5" s="29"/>
      <c r="D5" s="29"/>
      <c r="E5" s="29"/>
      <c r="F5" s="29"/>
      <c r="G5" s="29"/>
      <c r="H5" s="29"/>
      <c r="I5" s="29"/>
    </row>
    <row r="7" customFormat="false" ht="15" hidden="false" customHeight="false" outlineLevel="0" collapsed="false">
      <c r="B7" s="27" t="s">
        <v>227</v>
      </c>
      <c r="C7" s="28"/>
      <c r="D7" s="28"/>
      <c r="E7" s="28"/>
      <c r="F7" s="28"/>
      <c r="G7" s="28"/>
      <c r="H7" s="28"/>
      <c r="I7" s="28"/>
    </row>
    <row r="8" customFormat="false" ht="16.5" hidden="false" customHeight="true" outlineLevel="0" collapsed="false">
      <c r="B8" s="29" t="s">
        <v>306</v>
      </c>
      <c r="C8" s="29"/>
      <c r="D8" s="29"/>
      <c r="E8" s="29"/>
      <c r="F8" s="29"/>
      <c r="G8" s="29"/>
      <c r="H8" s="29"/>
      <c r="I8" s="29"/>
    </row>
    <row r="9" customFormat="false" ht="16.5" hidden="false" customHeight="true" outlineLevel="0" collapsed="false">
      <c r="B9" s="29" t="s">
        <v>307</v>
      </c>
      <c r="C9" s="29"/>
      <c r="D9" s="29"/>
      <c r="E9" s="29"/>
      <c r="F9" s="29"/>
      <c r="G9" s="29"/>
      <c r="H9" s="29"/>
      <c r="I9" s="29"/>
    </row>
    <row r="10" customFormat="false" ht="16.5" hidden="false" customHeight="true" outlineLevel="0" collapsed="false">
      <c r="B10" s="29" t="s">
        <v>308</v>
      </c>
      <c r="C10" s="29"/>
      <c r="D10" s="29"/>
      <c r="E10" s="29"/>
      <c r="F10" s="29"/>
      <c r="G10" s="29"/>
      <c r="H10" s="29"/>
      <c r="I10" s="29"/>
    </row>
    <row r="11" customFormat="false" ht="16.5" hidden="false" customHeight="true" outlineLevel="0" collapsed="false">
      <c r="B11" s="29" t="s">
        <v>309</v>
      </c>
      <c r="C11" s="29"/>
      <c r="D11" s="29"/>
      <c r="E11" s="29"/>
      <c r="F11" s="29"/>
      <c r="G11" s="29"/>
      <c r="H11" s="29"/>
      <c r="I11" s="29"/>
    </row>
    <row r="12" customFormat="false" ht="16.5" hidden="false" customHeight="true" outlineLevel="0" collapsed="false">
      <c r="B12" s="29" t="s">
        <v>310</v>
      </c>
      <c r="C12" s="29"/>
      <c r="D12" s="29"/>
      <c r="E12" s="29"/>
      <c r="F12" s="29"/>
      <c r="G12" s="29"/>
      <c r="H12" s="29"/>
      <c r="I12" s="29"/>
    </row>
    <row r="14" customFormat="false" ht="15" hidden="false" customHeight="false" outlineLevel="0" collapsed="false">
      <c r="B14" s="27" t="s">
        <v>232</v>
      </c>
      <c r="C14" s="28"/>
      <c r="D14" s="28"/>
      <c r="E14" s="28"/>
      <c r="F14" s="28"/>
      <c r="G14" s="28"/>
      <c r="H14" s="28"/>
      <c r="I14" s="28"/>
    </row>
    <row r="15" customFormat="false" ht="15" hidden="false" customHeight="false" outlineLevel="0" collapsed="false">
      <c r="B15" s="12" t="s">
        <v>233</v>
      </c>
      <c r="C15" s="30" t="s">
        <v>18</v>
      </c>
    </row>
    <row r="16" customFormat="false" ht="15" hidden="false" customHeight="false" outlineLevel="0" collapsed="false">
      <c r="B16" s="16" t="s">
        <v>311</v>
      </c>
      <c r="C16" s="42" t="n">
        <v>250</v>
      </c>
    </row>
    <row r="17" customFormat="false" ht="15" hidden="false" customHeight="false" outlineLevel="0" collapsed="false">
      <c r="B17" s="16" t="s">
        <v>312</v>
      </c>
      <c r="C17" s="42" t="n">
        <v>8</v>
      </c>
    </row>
    <row r="18" customFormat="false" ht="15" hidden="false" customHeight="false" outlineLevel="0" collapsed="false">
      <c r="B18" s="16" t="s">
        <v>313</v>
      </c>
      <c r="C18" s="40" t="n">
        <v>0.01</v>
      </c>
    </row>
    <row r="19" customFormat="false" ht="15" hidden="false" customHeight="false" outlineLevel="0" collapsed="false">
      <c r="B19" s="16" t="s">
        <v>314</v>
      </c>
      <c r="C19" s="39" t="n">
        <v>15</v>
      </c>
    </row>
    <row r="20" customFormat="false" ht="15" hidden="false" customHeight="false" outlineLevel="0" collapsed="false">
      <c r="B20" s="16" t="s">
        <v>315</v>
      </c>
      <c r="C20" s="39" t="n">
        <v>3</v>
      </c>
    </row>
    <row r="22" customFormat="false" ht="15" hidden="false" customHeight="false" outlineLevel="0" collapsed="false">
      <c r="B22" s="12" t="s">
        <v>316</v>
      </c>
      <c r="C22" s="30" t="s">
        <v>317</v>
      </c>
    </row>
    <row r="23" customFormat="false" ht="15" hidden="false" customHeight="false" outlineLevel="0" collapsed="false">
      <c r="B23" s="52" t="n">
        <v>5</v>
      </c>
      <c r="C23" s="53" t="n">
        <v>0.4</v>
      </c>
    </row>
    <row r="24" customFormat="false" ht="15" hidden="false" customHeight="false" outlineLevel="0" collapsed="false">
      <c r="B24" s="52" t="n">
        <v>6</v>
      </c>
      <c r="C24" s="53" t="n">
        <v>0.5</v>
      </c>
    </row>
    <row r="25" customFormat="false" ht="15" hidden="false" customHeight="false" outlineLevel="0" collapsed="false">
      <c r="B25" s="52" t="n">
        <v>7</v>
      </c>
      <c r="C25" s="53" t="n">
        <v>0.65</v>
      </c>
    </row>
    <row r="26" customFormat="false" ht="15" hidden="false" customHeight="false" outlineLevel="0" collapsed="false">
      <c r="B26" s="52" t="n">
        <v>8</v>
      </c>
      <c r="C26" s="53" t="n">
        <v>0.75</v>
      </c>
    </row>
    <row r="27" customFormat="false" ht="15" hidden="false" customHeight="false" outlineLevel="0" collapsed="false">
      <c r="B27" s="52" t="n">
        <v>9</v>
      </c>
      <c r="C27" s="53" t="n">
        <v>0.85</v>
      </c>
    </row>
    <row r="28" customFormat="false" ht="16.5" hidden="false" customHeight="true" outlineLevel="0" collapsed="false">
      <c r="B28" s="33" t="s">
        <v>318</v>
      </c>
      <c r="C28" s="33"/>
      <c r="D28" s="33"/>
      <c r="E28" s="33"/>
      <c r="F28" s="33"/>
      <c r="G28" s="33"/>
      <c r="H28" s="33"/>
      <c r="I28" s="33"/>
    </row>
    <row r="30" customFormat="false" ht="15" hidden="false" customHeight="false" outlineLevel="0" collapsed="false">
      <c r="B30" s="43" t="s">
        <v>243</v>
      </c>
      <c r="C30" s="44"/>
      <c r="D30" s="44"/>
      <c r="E30" s="44"/>
      <c r="F30" s="44"/>
      <c r="G30" s="44"/>
      <c r="H30" s="44"/>
      <c r="I30" s="44"/>
    </row>
    <row r="31" customFormat="false" ht="15" hidden="false" customHeight="false" outlineLevel="0" collapsed="false">
      <c r="B31" s="16" t="s">
        <v>319</v>
      </c>
      <c r="C31" s="54" t="n">
        <f aca="false">$C$16*$C$18</f>
        <v>2.5</v>
      </c>
    </row>
    <row r="32" customFormat="false" ht="15" hidden="false" customHeight="false" outlineLevel="0" collapsed="false">
      <c r="B32" s="16" t="s">
        <v>320</v>
      </c>
      <c r="C32" s="55" t="n">
        <f aca="false">1-_xlfn.BINOM.DIST($C$17-1,$C$16,$C$18,TRUE())</f>
        <v>0.00402533871180999</v>
      </c>
    </row>
    <row r="33" customFormat="false" ht="15" hidden="false" customHeight="false" outlineLevel="0" collapsed="false">
      <c r="B33" s="16" t="s">
        <v>321</v>
      </c>
      <c r="C33" s="56" t="str">
        <f aca="false">IF($C$17&lt;=4,"Green",IF($C$17&lt;=9,"Yellow","Red"))</f>
        <v>Yellow</v>
      </c>
    </row>
    <row r="34" customFormat="false" ht="15" hidden="false" customHeight="false" outlineLevel="0" collapsed="false">
      <c r="B34" s="16" t="s">
        <v>317</v>
      </c>
      <c r="C34" s="54" t="n">
        <f aca="false">IF($C$17&lt;=4,0,IF($C$17&gt;=10,1,VLOOKUP($C$17,$B$23:$C$27,2,FALSE())))</f>
        <v>0.75</v>
      </c>
    </row>
    <row r="35" customFormat="false" ht="15" hidden="false" customHeight="false" outlineLevel="0" collapsed="false">
      <c r="B35" s="16" t="s">
        <v>322</v>
      </c>
      <c r="C35" s="54" t="n">
        <f aca="false">$C$20+$C$34</f>
        <v>3.75</v>
      </c>
    </row>
    <row r="36" customFormat="false" ht="15" hidden="false" customHeight="false" outlineLevel="0" collapsed="false">
      <c r="B36" s="31" t="s">
        <v>323</v>
      </c>
      <c r="C36" s="49" t="n">
        <f aca="false">$C$35*$C$19</f>
        <v>56.25</v>
      </c>
    </row>
    <row r="37" customFormat="false" ht="15" hidden="false" customHeight="false" outlineLevel="0" collapsed="false">
      <c r="B37" s="16" t="s">
        <v>324</v>
      </c>
      <c r="C37" s="45" t="n">
        <f aca="false">$C$20*$C$19</f>
        <v>45</v>
      </c>
    </row>
    <row r="38" customFormat="false" ht="15" hidden="false" customHeight="false" outlineLevel="0" collapsed="false">
      <c r="B38" s="16" t="s">
        <v>325</v>
      </c>
      <c r="C38" s="45" t="n">
        <f aca="false">$C$36-$C$37</f>
        <v>11.25</v>
      </c>
    </row>
    <row r="40" customFormat="false" ht="15" hidden="false" customHeight="false" outlineLevel="0" collapsed="false">
      <c r="B40" s="43" t="s">
        <v>249</v>
      </c>
      <c r="C40" s="44"/>
      <c r="D40" s="44"/>
      <c r="E40" s="44"/>
      <c r="F40" s="44"/>
      <c r="G40" s="44"/>
      <c r="H40" s="44"/>
      <c r="I40" s="44"/>
    </row>
    <row r="41" customFormat="false" ht="30" hidden="false" customHeight="true" outlineLevel="0" collapsed="false">
      <c r="B41" s="47" t="s">
        <v>326</v>
      </c>
      <c r="C41" s="47"/>
      <c r="D41" s="47"/>
      <c r="E41" s="47"/>
      <c r="F41" s="47"/>
      <c r="G41" s="47"/>
      <c r="H41" s="47"/>
      <c r="I41" s="47"/>
    </row>
    <row r="42" customFormat="false" ht="30" hidden="false" customHeight="true" outlineLevel="0" collapsed="false">
      <c r="B42" s="47" t="s">
        <v>327</v>
      </c>
      <c r="C42" s="47"/>
      <c r="D42" s="47"/>
      <c r="E42" s="47"/>
      <c r="F42" s="47"/>
      <c r="G42" s="47"/>
      <c r="H42" s="47"/>
      <c r="I42" s="47"/>
    </row>
    <row r="43" customFormat="false" ht="30" hidden="false" customHeight="true" outlineLevel="0" collapsed="false">
      <c r="B43" s="47" t="s">
        <v>328</v>
      </c>
      <c r="C43" s="47"/>
      <c r="D43" s="47"/>
      <c r="E43" s="47"/>
      <c r="F43" s="47"/>
      <c r="G43" s="47"/>
      <c r="H43" s="47"/>
      <c r="I43" s="47"/>
    </row>
    <row r="44" customFormat="false" ht="16.5" hidden="false" customHeight="true" outlineLevel="0" collapsed="false">
      <c r="B44" s="48" t="s">
        <v>329</v>
      </c>
      <c r="C44" s="48"/>
      <c r="D44" s="48"/>
      <c r="E44" s="48"/>
      <c r="F44" s="48"/>
      <c r="G44" s="48"/>
      <c r="H44" s="48"/>
      <c r="I44" s="48"/>
    </row>
  </sheetData>
  <mergeCells count="11">
    <mergeCell ref="B5:I5"/>
    <mergeCell ref="B8:I8"/>
    <mergeCell ref="B9:I9"/>
    <mergeCell ref="B10:I10"/>
    <mergeCell ref="B11:I11"/>
    <mergeCell ref="B12:I12"/>
    <mergeCell ref="B28:I28"/>
    <mergeCell ref="B41:I41"/>
    <mergeCell ref="B42:I42"/>
    <mergeCell ref="B43:I43"/>
    <mergeCell ref="B44:I44"/>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25" t="s">
        <v>330</v>
      </c>
      <c r="I1" s="26" t="s">
        <v>164</v>
      </c>
    </row>
    <row r="2" customFormat="false" ht="15" hidden="false" customHeight="false" outlineLevel="0" collapsed="false">
      <c r="B2" s="38" t="s">
        <v>331</v>
      </c>
    </row>
    <row r="4" customFormat="false" ht="15" hidden="false" customHeight="false" outlineLevel="0" collapsed="false">
      <c r="B4" s="27" t="s">
        <v>225</v>
      </c>
      <c r="C4" s="28"/>
      <c r="D4" s="28"/>
      <c r="E4" s="28"/>
      <c r="F4" s="28"/>
      <c r="G4" s="28"/>
      <c r="H4" s="28"/>
      <c r="I4" s="28"/>
    </row>
    <row r="5" customFormat="false" ht="43.5" hidden="false" customHeight="true" outlineLevel="0" collapsed="false">
      <c r="B5" s="29" t="s">
        <v>332</v>
      </c>
      <c r="C5" s="29"/>
      <c r="D5" s="29"/>
      <c r="E5" s="29"/>
      <c r="F5" s="29"/>
      <c r="G5" s="29"/>
      <c r="H5" s="29"/>
      <c r="I5" s="29"/>
    </row>
    <row r="7" customFormat="false" ht="15" hidden="false" customHeight="false" outlineLevel="0" collapsed="false">
      <c r="B7" s="27" t="s">
        <v>227</v>
      </c>
      <c r="C7" s="28"/>
      <c r="D7" s="28"/>
      <c r="E7" s="28"/>
      <c r="F7" s="28"/>
      <c r="G7" s="28"/>
      <c r="H7" s="28"/>
      <c r="I7" s="28"/>
    </row>
    <row r="8" customFormat="false" ht="16.5" hidden="false" customHeight="true" outlineLevel="0" collapsed="false">
      <c r="B8" s="29" t="s">
        <v>333</v>
      </c>
      <c r="C8" s="29"/>
      <c r="D8" s="29"/>
      <c r="E8" s="29"/>
      <c r="F8" s="29"/>
      <c r="G8" s="29"/>
      <c r="H8" s="29"/>
      <c r="I8" s="29"/>
    </row>
    <row r="9" customFormat="false" ht="16.5" hidden="false" customHeight="true" outlineLevel="0" collapsed="false">
      <c r="B9" s="29" t="s">
        <v>334</v>
      </c>
      <c r="C9" s="29"/>
      <c r="D9" s="29"/>
      <c r="E9" s="29"/>
      <c r="F9" s="29"/>
      <c r="G9" s="29"/>
      <c r="H9" s="29"/>
      <c r="I9" s="29"/>
    </row>
    <row r="10" customFormat="false" ht="16.5" hidden="false" customHeight="true" outlineLevel="0" collapsed="false">
      <c r="B10" s="29" t="s">
        <v>335</v>
      </c>
      <c r="C10" s="29"/>
      <c r="D10" s="29"/>
      <c r="E10" s="29"/>
      <c r="F10" s="29"/>
      <c r="G10" s="29"/>
      <c r="H10" s="29"/>
      <c r="I10" s="29"/>
    </row>
    <row r="11" customFormat="false" ht="16.5" hidden="false" customHeight="true" outlineLevel="0" collapsed="false">
      <c r="B11" s="29" t="s">
        <v>336</v>
      </c>
      <c r="C11" s="29"/>
      <c r="D11" s="29"/>
      <c r="E11" s="29"/>
      <c r="F11" s="29"/>
      <c r="G11" s="29"/>
      <c r="H11" s="29"/>
      <c r="I11" s="29"/>
    </row>
    <row r="13" customFormat="false" ht="15" hidden="false" customHeight="false" outlineLevel="0" collapsed="false">
      <c r="B13" s="27" t="s">
        <v>232</v>
      </c>
      <c r="C13" s="28"/>
      <c r="D13" s="28"/>
      <c r="E13" s="28"/>
      <c r="F13" s="28"/>
      <c r="G13" s="28"/>
      <c r="H13" s="28"/>
      <c r="I13" s="28"/>
    </row>
    <row r="14" customFormat="false" ht="15" hidden="false" customHeight="false" outlineLevel="0" collapsed="false">
      <c r="B14" s="12" t="s">
        <v>233</v>
      </c>
      <c r="C14" s="30" t="s">
        <v>18</v>
      </c>
    </row>
    <row r="15" customFormat="false" ht="15" hidden="false" customHeight="false" outlineLevel="0" collapsed="false">
      <c r="B15" s="16" t="s">
        <v>337</v>
      </c>
      <c r="C15" s="39" t="n">
        <v>200</v>
      </c>
    </row>
    <row r="16" customFormat="false" ht="15" hidden="false" customHeight="false" outlineLevel="0" collapsed="false">
      <c r="B16" s="16" t="s">
        <v>59</v>
      </c>
      <c r="C16" s="39" t="n">
        <v>6.5</v>
      </c>
    </row>
    <row r="17" customFormat="false" ht="15" hidden="false" customHeight="false" outlineLevel="0" collapsed="false">
      <c r="B17" s="16" t="s">
        <v>338</v>
      </c>
      <c r="C17" s="40" t="n">
        <v>0.0006</v>
      </c>
    </row>
    <row r="18" customFormat="false" ht="15" hidden="false" customHeight="false" outlineLevel="0" collapsed="false">
      <c r="B18" s="16" t="s">
        <v>240</v>
      </c>
      <c r="C18" s="41" t="n">
        <v>2.326</v>
      </c>
    </row>
    <row r="19" customFormat="false" ht="15" hidden="false" customHeight="false" outlineLevel="0" collapsed="false">
      <c r="B19" s="16" t="s">
        <v>242</v>
      </c>
      <c r="C19" s="42" t="n">
        <v>10</v>
      </c>
    </row>
    <row r="20" customFormat="false" ht="15" hidden="false" customHeight="false" outlineLevel="0" collapsed="false">
      <c r="B20" s="16" t="s">
        <v>339</v>
      </c>
      <c r="C20" s="41" t="n">
        <v>0.0001</v>
      </c>
    </row>
    <row r="22" customFormat="false" ht="15" hidden="false" customHeight="false" outlineLevel="0" collapsed="false">
      <c r="B22" s="43" t="s">
        <v>243</v>
      </c>
      <c r="C22" s="44"/>
      <c r="D22" s="44"/>
      <c r="E22" s="44"/>
      <c r="F22" s="44"/>
      <c r="G22" s="44"/>
      <c r="H22" s="44"/>
      <c r="I22" s="44"/>
    </row>
    <row r="23" customFormat="false" ht="15" hidden="false" customHeight="false" outlineLevel="0" collapsed="false">
      <c r="B23" s="16" t="s">
        <v>340</v>
      </c>
      <c r="C23" s="45" t="n">
        <f aca="false">$C$15*$C$16*$C$20</f>
        <v>0.13</v>
      </c>
    </row>
    <row r="24" customFormat="false" ht="15" hidden="false" customHeight="false" outlineLevel="0" collapsed="false">
      <c r="B24" s="16" t="s">
        <v>341</v>
      </c>
      <c r="C24" s="54" t="n">
        <f aca="false">$C$23*100</f>
        <v>13</v>
      </c>
    </row>
    <row r="25" customFormat="false" ht="15" hidden="false" customHeight="false" outlineLevel="0" collapsed="false">
      <c r="B25" s="31" t="s">
        <v>245</v>
      </c>
      <c r="C25" s="49" t="n">
        <f aca="false">$C$15*$C$16*$C$17*$C$18</f>
        <v>1.81428</v>
      </c>
    </row>
    <row r="26" customFormat="false" ht="15" hidden="false" customHeight="false" outlineLevel="0" collapsed="false">
      <c r="B26" s="16" t="s">
        <v>246</v>
      </c>
      <c r="C26" s="45" t="n">
        <f aca="false">$C$25*SQRT($C$19)</f>
        <v>5.73725711329029</v>
      </c>
    </row>
    <row r="27" customFormat="false" ht="15" hidden="false" customHeight="false" outlineLevel="0" collapsed="false">
      <c r="B27" s="16" t="s">
        <v>342</v>
      </c>
      <c r="C27" s="54" t="n">
        <f aca="false">$C$18*$C$17/$C$20</f>
        <v>13.956</v>
      </c>
    </row>
    <row r="29" customFormat="false" ht="15" hidden="false" customHeight="false" outlineLevel="0" collapsed="false">
      <c r="B29" s="43" t="s">
        <v>249</v>
      </c>
      <c r="C29" s="44"/>
      <c r="D29" s="44"/>
      <c r="E29" s="44"/>
      <c r="F29" s="44"/>
      <c r="G29" s="44"/>
      <c r="H29" s="44"/>
      <c r="I29" s="44"/>
    </row>
    <row r="30" customFormat="false" ht="16.5" hidden="false" customHeight="true" outlineLevel="0" collapsed="false">
      <c r="B30" s="47" t="s">
        <v>343</v>
      </c>
      <c r="C30" s="47"/>
      <c r="D30" s="47"/>
      <c r="E30" s="47"/>
      <c r="F30" s="47"/>
      <c r="G30" s="47"/>
      <c r="H30" s="47"/>
      <c r="I30" s="47"/>
    </row>
    <row r="31" customFormat="false" ht="16.5" hidden="false" customHeight="true" outlineLevel="0" collapsed="false">
      <c r="B31" s="47" t="s">
        <v>344</v>
      </c>
      <c r="C31" s="47"/>
      <c r="D31" s="47"/>
      <c r="E31" s="47"/>
      <c r="F31" s="47"/>
      <c r="G31" s="47"/>
      <c r="H31" s="47"/>
      <c r="I31" s="47"/>
    </row>
    <row r="32" customFormat="false" ht="30" hidden="false" customHeight="true" outlineLevel="0" collapsed="false">
      <c r="B32" s="47" t="s">
        <v>345</v>
      </c>
      <c r="C32" s="47"/>
      <c r="D32" s="47"/>
      <c r="E32" s="47"/>
      <c r="F32" s="47"/>
      <c r="G32" s="47"/>
      <c r="H32" s="47"/>
      <c r="I32" s="47"/>
    </row>
    <row r="33" customFormat="false" ht="16.5" hidden="false" customHeight="true" outlineLevel="0" collapsed="false">
      <c r="B33" s="48" t="s">
        <v>346</v>
      </c>
      <c r="C33" s="48"/>
      <c r="D33" s="48"/>
      <c r="E33" s="48"/>
      <c r="F33" s="48"/>
      <c r="G33" s="48"/>
      <c r="H33" s="48"/>
      <c r="I33" s="48"/>
    </row>
  </sheetData>
  <mergeCells count="9">
    <mergeCell ref="B5:I5"/>
    <mergeCell ref="B8:I8"/>
    <mergeCell ref="B9:I9"/>
    <mergeCell ref="B10:I10"/>
    <mergeCell ref="B11:I11"/>
    <mergeCell ref="B30:I30"/>
    <mergeCell ref="B31:I31"/>
    <mergeCell ref="B32:I32"/>
    <mergeCell ref="B33:I33"/>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25" t="s">
        <v>347</v>
      </c>
      <c r="I1" s="26" t="s">
        <v>164</v>
      </c>
    </row>
    <row r="2" customFormat="false" ht="15" hidden="false" customHeight="false" outlineLevel="0" collapsed="false">
      <c r="B2" s="38" t="s">
        <v>348</v>
      </c>
    </row>
    <row r="4" customFormat="false" ht="15" hidden="false" customHeight="false" outlineLevel="0" collapsed="false">
      <c r="B4" s="27" t="s">
        <v>225</v>
      </c>
      <c r="C4" s="28"/>
      <c r="D4" s="28"/>
      <c r="E4" s="28"/>
      <c r="F4" s="28"/>
      <c r="G4" s="28"/>
      <c r="H4" s="28"/>
      <c r="I4" s="28"/>
    </row>
    <row r="5" customFormat="false" ht="43.5" hidden="false" customHeight="true" outlineLevel="0" collapsed="false">
      <c r="B5" s="29" t="s">
        <v>349</v>
      </c>
      <c r="C5" s="29"/>
      <c r="D5" s="29"/>
      <c r="E5" s="29"/>
      <c r="F5" s="29"/>
      <c r="G5" s="29"/>
      <c r="H5" s="29"/>
      <c r="I5" s="29"/>
    </row>
    <row r="7" customFormat="false" ht="15" hidden="false" customHeight="false" outlineLevel="0" collapsed="false">
      <c r="B7" s="27" t="s">
        <v>227</v>
      </c>
      <c r="C7" s="28"/>
      <c r="D7" s="28"/>
      <c r="E7" s="28"/>
      <c r="F7" s="28"/>
      <c r="G7" s="28"/>
      <c r="H7" s="28"/>
      <c r="I7" s="28"/>
    </row>
    <row r="8" customFormat="false" ht="16.5" hidden="false" customHeight="true" outlineLevel="0" collapsed="false">
      <c r="B8" s="29" t="s">
        <v>350</v>
      </c>
      <c r="C8" s="29"/>
      <c r="D8" s="29"/>
      <c r="E8" s="29"/>
      <c r="F8" s="29"/>
      <c r="G8" s="29"/>
      <c r="H8" s="29"/>
      <c r="I8" s="29"/>
    </row>
    <row r="9" customFormat="false" ht="16.5" hidden="false" customHeight="true" outlineLevel="0" collapsed="false">
      <c r="B9" s="29" t="s">
        <v>351</v>
      </c>
      <c r="C9" s="29"/>
      <c r="D9" s="29"/>
      <c r="E9" s="29"/>
      <c r="F9" s="29"/>
      <c r="G9" s="29"/>
      <c r="H9" s="29"/>
      <c r="I9" s="29"/>
    </row>
    <row r="10" customFormat="false" ht="16.5" hidden="false" customHeight="true" outlineLevel="0" collapsed="false">
      <c r="B10" s="29" t="s">
        <v>352</v>
      </c>
      <c r="C10" s="29"/>
      <c r="D10" s="29"/>
      <c r="E10" s="29"/>
      <c r="F10" s="29"/>
      <c r="G10" s="29"/>
      <c r="H10" s="29"/>
      <c r="I10" s="29"/>
    </row>
    <row r="11" customFormat="false" ht="16.5" hidden="false" customHeight="true" outlineLevel="0" collapsed="false">
      <c r="B11" s="29" t="s">
        <v>353</v>
      </c>
      <c r="C11" s="29"/>
      <c r="D11" s="29"/>
      <c r="E11" s="29"/>
      <c r="F11" s="29"/>
      <c r="G11" s="29"/>
      <c r="H11" s="29"/>
      <c r="I11" s="29"/>
    </row>
    <row r="13" customFormat="false" ht="15" hidden="false" customHeight="false" outlineLevel="0" collapsed="false">
      <c r="B13" s="27" t="s">
        <v>232</v>
      </c>
      <c r="C13" s="28"/>
      <c r="D13" s="28"/>
      <c r="E13" s="28"/>
      <c r="F13" s="28"/>
      <c r="G13" s="28"/>
      <c r="H13" s="28"/>
      <c r="I13" s="28"/>
    </row>
    <row r="14" customFormat="false" ht="15" hidden="false" customHeight="false" outlineLevel="0" collapsed="false">
      <c r="B14" s="12" t="s">
        <v>233</v>
      </c>
      <c r="C14" s="30" t="s">
        <v>18</v>
      </c>
    </row>
    <row r="15" customFormat="false" ht="15" hidden="false" customHeight="false" outlineLevel="0" collapsed="false">
      <c r="B15" s="16" t="s">
        <v>354</v>
      </c>
      <c r="C15" s="42" t="n">
        <v>10000000</v>
      </c>
    </row>
    <row r="16" customFormat="false" ht="15" hidden="false" customHeight="false" outlineLevel="0" collapsed="false">
      <c r="B16" s="16" t="s">
        <v>355</v>
      </c>
      <c r="C16" s="39" t="n">
        <v>84</v>
      </c>
    </row>
    <row r="17" customFormat="false" ht="15" hidden="false" customHeight="false" outlineLevel="0" collapsed="false">
      <c r="B17" s="16" t="s">
        <v>356</v>
      </c>
      <c r="C17" s="40" t="n">
        <v>0.0035</v>
      </c>
    </row>
    <row r="18" customFormat="false" ht="15" hidden="false" customHeight="false" outlineLevel="0" collapsed="false">
      <c r="B18" s="16" t="s">
        <v>238</v>
      </c>
      <c r="C18" s="41" t="n">
        <v>1.645</v>
      </c>
    </row>
    <row r="19" customFormat="false" ht="15" hidden="false" customHeight="false" outlineLevel="0" collapsed="false">
      <c r="B19" s="16" t="s">
        <v>357</v>
      </c>
      <c r="C19" s="42" t="n">
        <v>10</v>
      </c>
    </row>
    <row r="20" customFormat="false" ht="15" hidden="false" customHeight="false" outlineLevel="0" collapsed="false">
      <c r="B20" s="16" t="s">
        <v>358</v>
      </c>
      <c r="C20" s="57" t="n">
        <v>0.7</v>
      </c>
    </row>
    <row r="21" customFormat="false" ht="15" hidden="false" customHeight="false" outlineLevel="0" collapsed="false">
      <c r="B21" s="16" t="s">
        <v>359</v>
      </c>
      <c r="C21" s="42" t="n">
        <v>10000000</v>
      </c>
    </row>
    <row r="23" customFormat="false" ht="15" hidden="false" customHeight="false" outlineLevel="0" collapsed="false">
      <c r="B23" s="43" t="s">
        <v>243</v>
      </c>
      <c r="C23" s="44"/>
      <c r="D23" s="44"/>
      <c r="E23" s="44"/>
      <c r="F23" s="44"/>
      <c r="G23" s="44"/>
      <c r="H23" s="44"/>
      <c r="I23" s="44"/>
    </row>
    <row r="24" customFormat="false" ht="15" hidden="false" customHeight="false" outlineLevel="0" collapsed="false">
      <c r="B24" s="16" t="s">
        <v>360</v>
      </c>
      <c r="C24" s="45" t="n">
        <f aca="false">$C$15*$C$16/$C$21</f>
        <v>84</v>
      </c>
    </row>
    <row r="25" customFormat="false" ht="15" hidden="false" customHeight="false" outlineLevel="0" collapsed="false">
      <c r="B25" s="16" t="s">
        <v>244</v>
      </c>
      <c r="C25" s="45" t="n">
        <f aca="false">$C$18*$C$17*$C$24</f>
        <v>0.48363</v>
      </c>
    </row>
    <row r="26" customFormat="false" ht="15" hidden="false" customHeight="false" outlineLevel="0" collapsed="false">
      <c r="B26" s="31" t="s">
        <v>361</v>
      </c>
      <c r="C26" s="49" t="n">
        <f aca="false">$C$25*SQRT($C$19)</f>
        <v>1.52937234478723</v>
      </c>
    </row>
    <row r="27" customFormat="false" ht="15" hidden="false" customHeight="false" outlineLevel="0" collapsed="false">
      <c r="B27" s="16" t="s">
        <v>362</v>
      </c>
      <c r="C27" s="45" t="n">
        <f aca="false">$C$26*(1-$C$20)</f>
        <v>0.45881170343617</v>
      </c>
    </row>
    <row r="28" customFormat="false" ht="15" hidden="false" customHeight="false" outlineLevel="0" collapsed="false">
      <c r="B28" s="16" t="s">
        <v>363</v>
      </c>
      <c r="C28" s="54" t="n">
        <f aca="false">$C$16*(1+$C$18*$C$17*SQRT($C$19))</f>
        <v>85.5293723447872</v>
      </c>
    </row>
    <row r="30" customFormat="false" ht="15" hidden="false" customHeight="false" outlineLevel="0" collapsed="false">
      <c r="B30" s="43" t="s">
        <v>249</v>
      </c>
      <c r="C30" s="44"/>
      <c r="D30" s="44"/>
      <c r="E30" s="44"/>
      <c r="F30" s="44"/>
      <c r="G30" s="44"/>
      <c r="H30" s="44"/>
      <c r="I30" s="44"/>
    </row>
    <row r="31" customFormat="false" ht="43.5" hidden="false" customHeight="true" outlineLevel="0" collapsed="false">
      <c r="B31" s="47" t="s">
        <v>364</v>
      </c>
      <c r="C31" s="47"/>
      <c r="D31" s="47"/>
      <c r="E31" s="47"/>
      <c r="F31" s="47"/>
      <c r="G31" s="47"/>
      <c r="H31" s="47"/>
      <c r="I31" s="47"/>
    </row>
    <row r="32" customFormat="false" ht="16.5" hidden="false" customHeight="true" outlineLevel="0" collapsed="false">
      <c r="B32" s="48" t="s">
        <v>365</v>
      </c>
      <c r="C32" s="48"/>
      <c r="D32" s="48"/>
      <c r="E32" s="48"/>
      <c r="F32" s="48"/>
      <c r="G32" s="48"/>
      <c r="H32" s="48"/>
      <c r="I32" s="48"/>
    </row>
  </sheetData>
  <mergeCells count="7">
    <mergeCell ref="B5:I5"/>
    <mergeCell ref="B8:I8"/>
    <mergeCell ref="B9:I9"/>
    <mergeCell ref="B10:I10"/>
    <mergeCell ref="B11:I11"/>
    <mergeCell ref="B31:I31"/>
    <mergeCell ref="B32:I32"/>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25" t="s">
        <v>366</v>
      </c>
      <c r="I1" s="26" t="s">
        <v>164</v>
      </c>
    </row>
    <row r="2" customFormat="false" ht="15" hidden="false" customHeight="false" outlineLevel="0" collapsed="false">
      <c r="B2" s="38" t="s">
        <v>367</v>
      </c>
    </row>
    <row r="4" customFormat="false" ht="15" hidden="false" customHeight="false" outlineLevel="0" collapsed="false">
      <c r="B4" s="27" t="s">
        <v>225</v>
      </c>
      <c r="C4" s="28"/>
      <c r="D4" s="28"/>
      <c r="E4" s="28"/>
      <c r="F4" s="28"/>
      <c r="G4" s="28"/>
      <c r="H4" s="28"/>
      <c r="I4" s="28"/>
    </row>
    <row r="5" customFormat="false" ht="30" hidden="false" customHeight="true" outlineLevel="0" collapsed="false">
      <c r="B5" s="29" t="s">
        <v>368</v>
      </c>
      <c r="C5" s="29"/>
      <c r="D5" s="29"/>
      <c r="E5" s="29"/>
      <c r="F5" s="29"/>
      <c r="G5" s="29"/>
      <c r="H5" s="29"/>
      <c r="I5" s="29"/>
    </row>
    <row r="7" customFormat="false" ht="15" hidden="false" customHeight="false" outlineLevel="0" collapsed="false">
      <c r="B7" s="27" t="s">
        <v>227</v>
      </c>
      <c r="C7" s="28"/>
      <c r="D7" s="28"/>
      <c r="E7" s="28"/>
      <c r="F7" s="28"/>
      <c r="G7" s="28"/>
      <c r="H7" s="28"/>
      <c r="I7" s="28"/>
    </row>
    <row r="8" customFormat="false" ht="16.5" hidden="false" customHeight="true" outlineLevel="0" collapsed="false">
      <c r="B8" s="29" t="s">
        <v>369</v>
      </c>
      <c r="C8" s="29"/>
      <c r="D8" s="29"/>
      <c r="E8" s="29"/>
      <c r="F8" s="29"/>
      <c r="G8" s="29"/>
      <c r="H8" s="29"/>
      <c r="I8" s="29"/>
    </row>
    <row r="9" customFormat="false" ht="16.5" hidden="false" customHeight="true" outlineLevel="0" collapsed="false">
      <c r="B9" s="29" t="s">
        <v>370</v>
      </c>
      <c r="C9" s="29"/>
      <c r="D9" s="29"/>
      <c r="E9" s="29"/>
      <c r="F9" s="29"/>
      <c r="G9" s="29"/>
      <c r="H9" s="29"/>
      <c r="I9" s="29"/>
    </row>
    <row r="10" customFormat="false" ht="16.5" hidden="false" customHeight="true" outlineLevel="0" collapsed="false">
      <c r="B10" s="29" t="s">
        <v>371</v>
      </c>
      <c r="C10" s="29"/>
      <c r="D10" s="29"/>
      <c r="E10" s="29"/>
      <c r="F10" s="29"/>
      <c r="G10" s="29"/>
      <c r="H10" s="29"/>
      <c r="I10" s="29"/>
    </row>
    <row r="11" customFormat="false" ht="16.5" hidden="false" customHeight="true" outlineLevel="0" collapsed="false">
      <c r="B11" s="29" t="s">
        <v>372</v>
      </c>
      <c r="C11" s="29"/>
      <c r="D11" s="29"/>
      <c r="E11" s="29"/>
      <c r="F11" s="29"/>
      <c r="G11" s="29"/>
      <c r="H11" s="29"/>
      <c r="I11" s="29"/>
    </row>
    <row r="13" customFormat="false" ht="15" hidden="false" customHeight="false" outlineLevel="0" collapsed="false">
      <c r="B13" s="27" t="s">
        <v>232</v>
      </c>
      <c r="C13" s="28"/>
      <c r="D13" s="28"/>
      <c r="E13" s="28"/>
      <c r="F13" s="28"/>
      <c r="G13" s="28"/>
      <c r="H13" s="28"/>
      <c r="I13" s="28"/>
    </row>
    <row r="14" customFormat="false" ht="15" hidden="false" customHeight="false" outlineLevel="0" collapsed="false">
      <c r="B14" s="12" t="s">
        <v>233</v>
      </c>
      <c r="C14" s="30" t="s">
        <v>18</v>
      </c>
    </row>
    <row r="15" customFormat="false" ht="15" hidden="false" customHeight="false" outlineLevel="0" collapsed="false">
      <c r="B15" s="16" t="s">
        <v>235</v>
      </c>
      <c r="C15" s="39" t="n">
        <v>100</v>
      </c>
    </row>
    <row r="16" customFormat="false" ht="15" hidden="false" customHeight="false" outlineLevel="0" collapsed="false">
      <c r="B16" s="16" t="s">
        <v>373</v>
      </c>
      <c r="C16" s="40" t="n">
        <v>0.015</v>
      </c>
    </row>
    <row r="17" customFormat="false" ht="15" hidden="false" customHeight="false" outlineLevel="0" collapsed="false">
      <c r="B17" s="16" t="s">
        <v>374</v>
      </c>
      <c r="C17" s="57" t="n">
        <v>0.975</v>
      </c>
    </row>
    <row r="18" customFormat="false" ht="15" hidden="false" customHeight="false" outlineLevel="0" collapsed="false">
      <c r="B18" s="16" t="s">
        <v>375</v>
      </c>
      <c r="C18" s="57" t="n">
        <v>0.99</v>
      </c>
    </row>
    <row r="20" customFormat="false" ht="15" hidden="false" customHeight="false" outlineLevel="0" collapsed="false">
      <c r="B20" s="43" t="s">
        <v>243</v>
      </c>
      <c r="C20" s="44"/>
      <c r="D20" s="44"/>
      <c r="E20" s="44"/>
      <c r="F20" s="44"/>
      <c r="G20" s="44"/>
      <c r="H20" s="44"/>
      <c r="I20" s="44"/>
    </row>
    <row r="21" customFormat="false" ht="15" hidden="false" customHeight="false" outlineLevel="0" collapsed="false">
      <c r="B21" s="16" t="s">
        <v>376</v>
      </c>
      <c r="C21" s="55" t="n">
        <f aca="false">_xlfn.NORM.S.INV($C$17)</f>
        <v>1.95996398454005</v>
      </c>
    </row>
    <row r="22" customFormat="false" ht="15" hidden="false" customHeight="false" outlineLevel="0" collapsed="false">
      <c r="B22" s="16" t="s">
        <v>377</v>
      </c>
      <c r="C22" s="55" t="n">
        <f aca="false">_xlfn.NORM.S.INV($C$18)</f>
        <v>2.32634787404084</v>
      </c>
    </row>
    <row r="23" customFormat="false" ht="15" hidden="false" customHeight="false" outlineLevel="0" collapsed="false">
      <c r="B23" s="16" t="s">
        <v>378</v>
      </c>
      <c r="C23" s="45" t="n">
        <f aca="false">$C$21*$C$16*$C$15</f>
        <v>2.93994597681008</v>
      </c>
    </row>
    <row r="24" customFormat="false" ht="15" hidden="false" customHeight="false" outlineLevel="0" collapsed="false">
      <c r="B24" s="31" t="s">
        <v>379</v>
      </c>
      <c r="C24" s="49" t="n">
        <f aca="false">$C$22*$C$16*$C$15</f>
        <v>3.48952181106126</v>
      </c>
    </row>
    <row r="25" customFormat="false" ht="15" hidden="false" customHeight="false" outlineLevel="0" collapsed="false">
      <c r="B25" s="31" t="s">
        <v>380</v>
      </c>
      <c r="C25" s="49" t="n">
        <f aca="false">$C$16*$C$15*_xlfn.NORM.S.DIST($C$21,FALSE())/(1-$C$17)</f>
        <v>3.50670418830212</v>
      </c>
    </row>
    <row r="26" customFormat="false" ht="15" hidden="false" customHeight="false" outlineLevel="0" collapsed="false">
      <c r="B26" s="16" t="s">
        <v>381</v>
      </c>
      <c r="C26" s="45" t="n">
        <f aca="false">$C$16*$C$15*_xlfn.NORM.S.DIST($C$22,FALSE())/(1-$C$18)</f>
        <v>3.99782133051871</v>
      </c>
    </row>
    <row r="27" customFormat="false" ht="15" hidden="false" customHeight="false" outlineLevel="0" collapsed="false">
      <c r="B27" s="16" t="s">
        <v>382</v>
      </c>
      <c r="C27" s="58" t="n">
        <f aca="false">$C$25/$C$24</f>
        <v>1.00492399193104</v>
      </c>
    </row>
    <row r="29" customFormat="false" ht="15" hidden="false" customHeight="false" outlineLevel="0" collapsed="false">
      <c r="B29" s="43" t="s">
        <v>249</v>
      </c>
      <c r="C29" s="44"/>
      <c r="D29" s="44"/>
      <c r="E29" s="44"/>
      <c r="F29" s="44"/>
      <c r="G29" s="44"/>
      <c r="H29" s="44"/>
      <c r="I29" s="44"/>
    </row>
    <row r="30" customFormat="false" ht="30" hidden="false" customHeight="true" outlineLevel="0" collapsed="false">
      <c r="B30" s="47" t="s">
        <v>383</v>
      </c>
      <c r="C30" s="47"/>
      <c r="D30" s="47"/>
      <c r="E30" s="47"/>
      <c r="F30" s="47"/>
      <c r="G30" s="47"/>
      <c r="H30" s="47"/>
      <c r="I30" s="47"/>
    </row>
    <row r="31" customFormat="false" ht="16.5" hidden="false" customHeight="true" outlineLevel="0" collapsed="false">
      <c r="B31" s="47" t="s">
        <v>384</v>
      </c>
      <c r="C31" s="47"/>
      <c r="D31" s="47"/>
      <c r="E31" s="47"/>
      <c r="F31" s="47"/>
      <c r="G31" s="47"/>
      <c r="H31" s="47"/>
      <c r="I31" s="47"/>
    </row>
    <row r="32" customFormat="false" ht="30" hidden="false" customHeight="true" outlineLevel="0" collapsed="false">
      <c r="B32" s="47" t="s">
        <v>385</v>
      </c>
      <c r="C32" s="47"/>
      <c r="D32" s="47"/>
      <c r="E32" s="47"/>
      <c r="F32" s="47"/>
      <c r="G32" s="47"/>
      <c r="H32" s="47"/>
      <c r="I32" s="47"/>
    </row>
    <row r="33" customFormat="false" ht="16.5" hidden="false" customHeight="true" outlineLevel="0" collapsed="false">
      <c r="B33" s="48" t="s">
        <v>386</v>
      </c>
      <c r="C33" s="48"/>
      <c r="D33" s="48"/>
      <c r="E33" s="48"/>
      <c r="F33" s="48"/>
      <c r="G33" s="48"/>
      <c r="H33" s="48"/>
      <c r="I33" s="48"/>
    </row>
  </sheetData>
  <mergeCells count="9">
    <mergeCell ref="B5:I5"/>
    <mergeCell ref="B8:I8"/>
    <mergeCell ref="B9:I9"/>
    <mergeCell ref="B10:I10"/>
    <mergeCell ref="B11:I11"/>
    <mergeCell ref="B30:I30"/>
    <mergeCell ref="B31:I31"/>
    <mergeCell ref="B32:I32"/>
    <mergeCell ref="B33:I33"/>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25" t="s">
        <v>387</v>
      </c>
      <c r="I1" s="26" t="s">
        <v>164</v>
      </c>
    </row>
    <row r="2" customFormat="false" ht="15" hidden="false" customHeight="false" outlineLevel="0" collapsed="false">
      <c r="B2" s="38" t="s">
        <v>388</v>
      </c>
    </row>
    <row r="4" customFormat="false" ht="15" hidden="false" customHeight="false" outlineLevel="0" collapsed="false">
      <c r="B4" s="27" t="s">
        <v>225</v>
      </c>
      <c r="C4" s="28"/>
      <c r="D4" s="28"/>
      <c r="E4" s="28"/>
      <c r="F4" s="28"/>
      <c r="G4" s="28"/>
      <c r="H4" s="28"/>
      <c r="I4" s="28"/>
    </row>
    <row r="5" customFormat="false" ht="30" hidden="false" customHeight="true" outlineLevel="0" collapsed="false">
      <c r="B5" s="29" t="s">
        <v>389</v>
      </c>
      <c r="C5" s="29"/>
      <c r="D5" s="29"/>
      <c r="E5" s="29"/>
      <c r="F5" s="29"/>
      <c r="G5" s="29"/>
      <c r="H5" s="29"/>
      <c r="I5" s="29"/>
    </row>
    <row r="7" customFormat="false" ht="15" hidden="false" customHeight="false" outlineLevel="0" collapsed="false">
      <c r="B7" s="27" t="s">
        <v>227</v>
      </c>
      <c r="C7" s="28"/>
      <c r="D7" s="28"/>
      <c r="E7" s="28"/>
      <c r="F7" s="28"/>
      <c r="G7" s="28"/>
      <c r="H7" s="28"/>
      <c r="I7" s="28"/>
    </row>
    <row r="8" customFormat="false" ht="16.5" hidden="false" customHeight="true" outlineLevel="0" collapsed="false">
      <c r="B8" s="29" t="s">
        <v>390</v>
      </c>
      <c r="C8" s="29"/>
      <c r="D8" s="29"/>
      <c r="E8" s="29"/>
      <c r="F8" s="29"/>
      <c r="G8" s="29"/>
      <c r="H8" s="29"/>
      <c r="I8" s="29"/>
    </row>
    <row r="9" customFormat="false" ht="16.5" hidden="false" customHeight="true" outlineLevel="0" collapsed="false">
      <c r="B9" s="29" t="s">
        <v>391</v>
      </c>
      <c r="C9" s="29"/>
      <c r="D9" s="29"/>
      <c r="E9" s="29"/>
      <c r="F9" s="29"/>
      <c r="G9" s="29"/>
      <c r="H9" s="29"/>
      <c r="I9" s="29"/>
    </row>
    <row r="10" customFormat="false" ht="16.5" hidden="false" customHeight="true" outlineLevel="0" collapsed="false">
      <c r="B10" s="29" t="s">
        <v>392</v>
      </c>
      <c r="C10" s="29"/>
      <c r="D10" s="29"/>
      <c r="E10" s="29"/>
      <c r="F10" s="29"/>
      <c r="G10" s="29"/>
      <c r="H10" s="29"/>
      <c r="I10" s="29"/>
    </row>
    <row r="11" customFormat="false" ht="16.5" hidden="false" customHeight="true" outlineLevel="0" collapsed="false">
      <c r="B11" s="29" t="s">
        <v>393</v>
      </c>
      <c r="C11" s="29"/>
      <c r="D11" s="29"/>
      <c r="E11" s="29"/>
      <c r="F11" s="29"/>
      <c r="G11" s="29"/>
      <c r="H11" s="29"/>
      <c r="I11" s="29"/>
    </row>
    <row r="13" customFormat="false" ht="15" hidden="false" customHeight="false" outlineLevel="0" collapsed="false">
      <c r="B13" s="27" t="s">
        <v>232</v>
      </c>
      <c r="C13" s="28"/>
      <c r="D13" s="28"/>
      <c r="E13" s="28"/>
      <c r="F13" s="28"/>
      <c r="G13" s="28"/>
      <c r="H13" s="28"/>
      <c r="I13" s="28"/>
    </row>
    <row r="14" customFormat="false" ht="15" hidden="false" customHeight="false" outlineLevel="0" collapsed="false">
      <c r="B14" s="12" t="s">
        <v>233</v>
      </c>
      <c r="C14" s="30" t="s">
        <v>18</v>
      </c>
    </row>
    <row r="15" customFormat="false" ht="15" hidden="false" customHeight="false" outlineLevel="0" collapsed="false">
      <c r="B15" s="16" t="s">
        <v>394</v>
      </c>
      <c r="C15" s="39" t="n">
        <v>12</v>
      </c>
    </row>
    <row r="16" customFormat="false" ht="15" hidden="false" customHeight="false" outlineLevel="0" collapsed="false">
      <c r="B16" s="16" t="s">
        <v>395</v>
      </c>
      <c r="C16" s="39" t="n">
        <v>10</v>
      </c>
    </row>
    <row r="17" customFormat="false" ht="15" hidden="false" customHeight="false" outlineLevel="0" collapsed="false">
      <c r="B17" s="16" t="s">
        <v>396</v>
      </c>
      <c r="C17" s="39" t="n">
        <v>22</v>
      </c>
    </row>
    <row r="18" customFormat="false" ht="15" hidden="false" customHeight="false" outlineLevel="0" collapsed="false">
      <c r="B18" s="16" t="s">
        <v>397</v>
      </c>
      <c r="C18" s="39" t="n">
        <v>20</v>
      </c>
    </row>
    <row r="19" customFormat="false" ht="15" hidden="false" customHeight="false" outlineLevel="0" collapsed="false">
      <c r="B19" s="16" t="s">
        <v>398</v>
      </c>
      <c r="C19" s="39" t="n">
        <v>3</v>
      </c>
    </row>
    <row r="20" customFormat="false" ht="15" hidden="false" customHeight="false" outlineLevel="0" collapsed="false">
      <c r="B20" s="16" t="s">
        <v>399</v>
      </c>
      <c r="C20" s="39" t="n">
        <v>3.5</v>
      </c>
    </row>
    <row r="21" customFormat="false" ht="15" hidden="false" customHeight="false" outlineLevel="0" collapsed="false">
      <c r="B21" s="16" t="s">
        <v>400</v>
      </c>
      <c r="C21" s="39" t="n">
        <v>12.5</v>
      </c>
    </row>
    <row r="23" customFormat="false" ht="15" hidden="false" customHeight="false" outlineLevel="0" collapsed="false">
      <c r="B23" s="43" t="s">
        <v>243</v>
      </c>
      <c r="C23" s="44"/>
      <c r="D23" s="44"/>
      <c r="E23" s="44"/>
      <c r="F23" s="44"/>
      <c r="G23" s="44"/>
      <c r="H23" s="44"/>
      <c r="I23" s="44"/>
    </row>
    <row r="24" customFormat="false" ht="15" hidden="false" customHeight="false" outlineLevel="0" collapsed="false">
      <c r="B24" s="31" t="s">
        <v>401</v>
      </c>
      <c r="C24" s="49" t="n">
        <f aca="false">MAX($C$15,$C$19*$C$16)+MAX($C$17,$C$19*$C$18)</f>
        <v>90</v>
      </c>
    </row>
    <row r="25" customFormat="false" ht="15" hidden="false" customHeight="false" outlineLevel="0" collapsed="false">
      <c r="B25" s="16" t="s">
        <v>402</v>
      </c>
      <c r="C25" s="45" t="n">
        <f aca="false">MAX($C$15,$C$20*$C$16)+MAX($C$17,$C$20*$C$18)</f>
        <v>105</v>
      </c>
    </row>
    <row r="26" customFormat="false" ht="15" hidden="false" customHeight="false" outlineLevel="0" collapsed="false">
      <c r="B26" s="16" t="s">
        <v>403</v>
      </c>
      <c r="C26" s="45" t="n">
        <f aca="false">$C$25-$C$24</f>
        <v>15</v>
      </c>
    </row>
    <row r="27" customFormat="false" ht="15" hidden="false" customHeight="false" outlineLevel="0" collapsed="false">
      <c r="B27" s="16" t="s">
        <v>404</v>
      </c>
      <c r="C27" s="54" t="n">
        <f aca="false">$C$24*$C$21</f>
        <v>1125</v>
      </c>
    </row>
    <row r="29" customFormat="false" ht="15" hidden="false" customHeight="false" outlineLevel="0" collapsed="false">
      <c r="B29" s="43" t="s">
        <v>249</v>
      </c>
      <c r="C29" s="44"/>
      <c r="D29" s="44"/>
      <c r="E29" s="44"/>
      <c r="F29" s="44"/>
      <c r="G29" s="44"/>
      <c r="H29" s="44"/>
      <c r="I29" s="44"/>
    </row>
    <row r="30" customFormat="false" ht="30" hidden="false" customHeight="true" outlineLevel="0" collapsed="false">
      <c r="B30" s="47" t="s">
        <v>405</v>
      </c>
      <c r="C30" s="47"/>
      <c r="D30" s="47"/>
      <c r="E30" s="47"/>
      <c r="F30" s="47"/>
      <c r="G30" s="47"/>
      <c r="H30" s="47"/>
      <c r="I30" s="47"/>
    </row>
    <row r="31" customFormat="false" ht="16.5" hidden="false" customHeight="true" outlineLevel="0" collapsed="false">
      <c r="B31" s="48" t="s">
        <v>406</v>
      </c>
      <c r="C31" s="48"/>
      <c r="D31" s="48"/>
      <c r="E31" s="48"/>
      <c r="F31" s="48"/>
      <c r="G31" s="48"/>
      <c r="H31" s="48"/>
      <c r="I31" s="48"/>
    </row>
  </sheetData>
  <mergeCells count="7">
    <mergeCell ref="B5:I5"/>
    <mergeCell ref="B8:I8"/>
    <mergeCell ref="B9:I9"/>
    <mergeCell ref="B10:I10"/>
    <mergeCell ref="B11:I11"/>
    <mergeCell ref="B30:I30"/>
    <mergeCell ref="B31:I31"/>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9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25" t="s">
        <v>407</v>
      </c>
      <c r="I1" s="26" t="s">
        <v>164</v>
      </c>
    </row>
    <row r="3" customFormat="false" ht="15" hidden="false" customHeight="false" outlineLevel="0" collapsed="false">
      <c r="B3" s="27" t="s">
        <v>165</v>
      </c>
      <c r="C3" s="28"/>
      <c r="D3" s="28"/>
      <c r="E3" s="28"/>
      <c r="F3" s="28"/>
      <c r="G3" s="28"/>
      <c r="H3" s="28"/>
      <c r="I3" s="28"/>
    </row>
    <row r="4" customFormat="false" ht="57" hidden="false" customHeight="true" outlineLevel="0" collapsed="false">
      <c r="B4" s="29" t="s">
        <v>408</v>
      </c>
      <c r="C4" s="29"/>
      <c r="D4" s="29"/>
      <c r="E4" s="29"/>
      <c r="F4" s="29"/>
      <c r="G4" s="29"/>
      <c r="H4" s="29"/>
      <c r="I4" s="29"/>
    </row>
    <row r="6" customFormat="false" ht="15" hidden="false" customHeight="false" outlineLevel="0" collapsed="false">
      <c r="B6" s="27" t="s">
        <v>167</v>
      </c>
      <c r="C6" s="28"/>
      <c r="D6" s="28"/>
      <c r="E6" s="28"/>
      <c r="F6" s="28"/>
      <c r="G6" s="28"/>
      <c r="H6" s="28"/>
      <c r="I6" s="28"/>
    </row>
    <row r="7" customFormat="false" ht="16.5" hidden="false" customHeight="true" outlineLevel="0" collapsed="false">
      <c r="B7" s="29" t="s">
        <v>409</v>
      </c>
      <c r="C7" s="29"/>
      <c r="D7" s="29"/>
      <c r="E7" s="29"/>
      <c r="F7" s="29"/>
      <c r="G7" s="29"/>
      <c r="H7" s="29"/>
      <c r="I7" s="29"/>
    </row>
    <row r="8" customFormat="false" ht="16.5" hidden="false" customHeight="true" outlineLevel="0" collapsed="false">
      <c r="B8" s="29" t="s">
        <v>410</v>
      </c>
      <c r="C8" s="29"/>
      <c r="D8" s="29"/>
      <c r="E8" s="29"/>
      <c r="F8" s="29"/>
      <c r="G8" s="29"/>
      <c r="H8" s="29"/>
      <c r="I8" s="29"/>
    </row>
    <row r="9" customFormat="false" ht="30" hidden="false" customHeight="true" outlineLevel="0" collapsed="false">
      <c r="B9" s="29" t="s">
        <v>411</v>
      </c>
      <c r="C9" s="29"/>
      <c r="D9" s="29"/>
      <c r="E9" s="29"/>
      <c r="F9" s="29"/>
      <c r="G9" s="29"/>
      <c r="H9" s="29"/>
      <c r="I9" s="29"/>
    </row>
    <row r="10" customFormat="false" ht="16.5" hidden="false" customHeight="true" outlineLevel="0" collapsed="false">
      <c r="B10" s="29" t="s">
        <v>412</v>
      </c>
      <c r="C10" s="29"/>
      <c r="D10" s="29"/>
      <c r="E10" s="29"/>
      <c r="F10" s="29"/>
      <c r="G10" s="29"/>
      <c r="H10" s="29"/>
      <c r="I10" s="29"/>
    </row>
    <row r="12" customFormat="false" ht="15" hidden="false" customHeight="false" outlineLevel="0" collapsed="false">
      <c r="B12" s="27" t="s">
        <v>172</v>
      </c>
      <c r="C12" s="28"/>
      <c r="D12" s="28"/>
      <c r="E12" s="28"/>
      <c r="F12" s="28"/>
      <c r="G12" s="28"/>
      <c r="H12" s="28"/>
      <c r="I12" s="28"/>
    </row>
    <row r="13" customFormat="false" ht="16.5" hidden="false" customHeight="true" outlineLevel="0" collapsed="false">
      <c r="B13" s="29" t="s">
        <v>413</v>
      </c>
      <c r="C13" s="29"/>
      <c r="D13" s="29"/>
      <c r="E13" s="29"/>
      <c r="F13" s="29"/>
      <c r="G13" s="29"/>
      <c r="H13" s="29"/>
      <c r="I13" s="29"/>
    </row>
    <row r="14" customFormat="false" ht="16.5" hidden="false" customHeight="true" outlineLevel="0" collapsed="false">
      <c r="B14" s="29" t="s">
        <v>414</v>
      </c>
      <c r="C14" s="29"/>
      <c r="D14" s="29"/>
      <c r="E14" s="29"/>
      <c r="F14" s="29"/>
      <c r="G14" s="29"/>
      <c r="H14" s="29"/>
      <c r="I14" s="29"/>
    </row>
    <row r="15" customFormat="false" ht="16.5" hidden="false" customHeight="true" outlineLevel="0" collapsed="false">
      <c r="B15" s="29" t="s">
        <v>415</v>
      </c>
      <c r="C15" s="29"/>
      <c r="D15" s="29"/>
      <c r="E15" s="29"/>
      <c r="F15" s="29"/>
      <c r="G15" s="29"/>
      <c r="H15" s="29"/>
      <c r="I15" s="29"/>
    </row>
    <row r="16" customFormat="false" ht="16.5" hidden="false" customHeight="true" outlineLevel="0" collapsed="false">
      <c r="B16" s="29" t="s">
        <v>416</v>
      </c>
      <c r="C16" s="29"/>
      <c r="D16" s="29"/>
      <c r="E16" s="29"/>
      <c r="F16" s="29"/>
      <c r="G16" s="29"/>
      <c r="H16" s="29"/>
      <c r="I16" s="29"/>
    </row>
    <row r="18" customFormat="false" ht="15" hidden="false" customHeight="false" outlineLevel="0" collapsed="false">
      <c r="B18" s="27" t="s">
        <v>177</v>
      </c>
      <c r="C18" s="28"/>
      <c r="D18" s="28"/>
      <c r="E18" s="28"/>
      <c r="F18" s="28"/>
      <c r="G18" s="28"/>
      <c r="H18" s="28"/>
      <c r="I18" s="28"/>
    </row>
    <row r="19" customFormat="false" ht="15" hidden="false" customHeight="false" outlineLevel="0" collapsed="false">
      <c r="B19" s="12" t="s">
        <v>178</v>
      </c>
      <c r="C19" s="30" t="s">
        <v>179</v>
      </c>
    </row>
    <row r="20" customFormat="false" ht="15" hidden="false" customHeight="false" outlineLevel="0" collapsed="false">
      <c r="B20" s="31" t="s">
        <v>417</v>
      </c>
      <c r="C20" s="32" t="s">
        <v>418</v>
      </c>
      <c r="D20" s="32"/>
      <c r="E20" s="32"/>
      <c r="F20" s="32"/>
      <c r="G20" s="32"/>
      <c r="H20" s="32"/>
      <c r="I20" s="32"/>
    </row>
    <row r="21" customFormat="false" ht="15" hidden="false" customHeight="false" outlineLevel="0" collapsed="false">
      <c r="B21" s="31" t="s">
        <v>59</v>
      </c>
      <c r="C21" s="32" t="s">
        <v>419</v>
      </c>
      <c r="D21" s="32"/>
      <c r="E21" s="32"/>
      <c r="F21" s="32"/>
      <c r="G21" s="32"/>
      <c r="H21" s="32"/>
      <c r="I21" s="32"/>
    </row>
    <row r="22" customFormat="false" ht="15" hidden="false" customHeight="false" outlineLevel="0" collapsed="false">
      <c r="B22" s="31" t="s">
        <v>420</v>
      </c>
      <c r="C22" s="32" t="s">
        <v>421</v>
      </c>
      <c r="D22" s="32"/>
      <c r="E22" s="32"/>
      <c r="F22" s="32"/>
      <c r="G22" s="32"/>
      <c r="H22" s="32"/>
      <c r="I22" s="32"/>
    </row>
    <row r="23" customFormat="false" ht="15" hidden="false" customHeight="false" outlineLevel="0" collapsed="false">
      <c r="B23" s="31" t="s">
        <v>422</v>
      </c>
      <c r="C23" s="32" t="s">
        <v>423</v>
      </c>
      <c r="D23" s="32"/>
      <c r="E23" s="32"/>
      <c r="F23" s="32"/>
      <c r="G23" s="32"/>
      <c r="H23" s="32"/>
      <c r="I23" s="32"/>
    </row>
    <row r="24" customFormat="false" ht="15" hidden="false" customHeight="false" outlineLevel="0" collapsed="false">
      <c r="B24" s="31" t="s">
        <v>424</v>
      </c>
      <c r="C24" s="32" t="s">
        <v>425</v>
      </c>
      <c r="D24" s="32"/>
      <c r="E24" s="32"/>
      <c r="F24" s="32"/>
      <c r="G24" s="32"/>
      <c r="H24" s="32"/>
      <c r="I24" s="32"/>
    </row>
    <row r="25" customFormat="false" ht="15" hidden="false" customHeight="false" outlineLevel="0" collapsed="false">
      <c r="B25" s="31" t="s">
        <v>426</v>
      </c>
      <c r="C25" s="32" t="s">
        <v>427</v>
      </c>
      <c r="D25" s="32"/>
      <c r="E25" s="32"/>
      <c r="F25" s="32"/>
      <c r="G25" s="32"/>
      <c r="H25" s="32"/>
      <c r="I25" s="32"/>
    </row>
    <row r="26" customFormat="false" ht="15" hidden="false" customHeight="false" outlineLevel="0" collapsed="false">
      <c r="B26" s="31" t="s">
        <v>428</v>
      </c>
      <c r="C26" s="32" t="s">
        <v>429</v>
      </c>
      <c r="D26" s="32"/>
      <c r="E26" s="32"/>
      <c r="F26" s="32"/>
      <c r="G26" s="32"/>
      <c r="H26" s="32"/>
      <c r="I26" s="32"/>
    </row>
    <row r="27" customFormat="false" ht="15" hidden="false" customHeight="false" outlineLevel="0" collapsed="false">
      <c r="B27" s="31" t="s">
        <v>430</v>
      </c>
      <c r="C27" s="32" t="s">
        <v>431</v>
      </c>
      <c r="D27" s="32"/>
      <c r="E27" s="32"/>
      <c r="F27" s="32"/>
      <c r="G27" s="32"/>
      <c r="H27" s="32"/>
      <c r="I27" s="32"/>
    </row>
    <row r="29" customFormat="false" ht="15" hidden="false" customHeight="false" outlineLevel="0" collapsed="false">
      <c r="B29" s="27" t="s">
        <v>194</v>
      </c>
      <c r="C29" s="28"/>
      <c r="D29" s="28"/>
      <c r="E29" s="28"/>
      <c r="F29" s="28"/>
      <c r="G29" s="28"/>
      <c r="H29" s="28"/>
      <c r="I29" s="28"/>
    </row>
    <row r="47" customFormat="false" ht="16.5" hidden="false" customHeight="true" outlineLevel="0" collapsed="false">
      <c r="B47" s="33" t="s">
        <v>432</v>
      </c>
      <c r="C47" s="33"/>
      <c r="D47" s="33"/>
      <c r="E47" s="33"/>
      <c r="F47" s="33"/>
      <c r="G47" s="33"/>
      <c r="H47" s="33"/>
      <c r="I47" s="33"/>
    </row>
    <row r="65" customFormat="false" ht="30" hidden="false" customHeight="true" outlineLevel="0" collapsed="false">
      <c r="B65" s="33" t="s">
        <v>433</v>
      </c>
      <c r="C65" s="33"/>
      <c r="D65" s="33"/>
      <c r="E65" s="33"/>
      <c r="F65" s="33"/>
      <c r="G65" s="33"/>
      <c r="H65" s="33"/>
      <c r="I65" s="33"/>
    </row>
    <row r="67" customFormat="false" ht="15" hidden="false" customHeight="false" outlineLevel="0" collapsed="false">
      <c r="B67" s="27" t="s">
        <v>197</v>
      </c>
      <c r="C67" s="28"/>
      <c r="D67" s="28"/>
      <c r="E67" s="28"/>
      <c r="F67" s="28"/>
      <c r="G67" s="28"/>
      <c r="H67" s="28"/>
      <c r="I67" s="28"/>
    </row>
    <row r="68" customFormat="false" ht="16.5" hidden="false" customHeight="true" outlineLevel="0" collapsed="false">
      <c r="B68" s="34" t="s">
        <v>434</v>
      </c>
      <c r="C68" s="34"/>
      <c r="D68" s="34"/>
      <c r="E68" s="34"/>
      <c r="F68" s="34"/>
      <c r="G68" s="34"/>
      <c r="H68" s="34"/>
      <c r="I68" s="34"/>
    </row>
    <row r="69" customFormat="false" ht="43.5" hidden="false" customHeight="true" outlineLevel="0" collapsed="false">
      <c r="B69" s="35" t="s">
        <v>435</v>
      </c>
      <c r="C69" s="35"/>
      <c r="D69" s="35"/>
      <c r="E69" s="35"/>
      <c r="F69" s="35"/>
      <c r="G69" s="35"/>
      <c r="H69" s="35"/>
      <c r="I69" s="35"/>
    </row>
    <row r="70" customFormat="false" ht="16.5" hidden="false" customHeight="true" outlineLevel="0" collapsed="false">
      <c r="B70" s="34" t="s">
        <v>436</v>
      </c>
      <c r="C70" s="34"/>
      <c r="D70" s="34"/>
      <c r="E70" s="34"/>
      <c r="F70" s="34"/>
      <c r="G70" s="34"/>
      <c r="H70" s="34"/>
      <c r="I70" s="34"/>
    </row>
    <row r="71" customFormat="false" ht="30" hidden="false" customHeight="true" outlineLevel="0" collapsed="false">
      <c r="B71" s="35" t="s">
        <v>437</v>
      </c>
      <c r="C71" s="35"/>
      <c r="D71" s="35"/>
      <c r="E71" s="35"/>
      <c r="F71" s="35"/>
      <c r="G71" s="35"/>
      <c r="H71" s="35"/>
      <c r="I71" s="35"/>
    </row>
    <row r="72" customFormat="false" ht="16.5" hidden="false" customHeight="true" outlineLevel="0" collapsed="false">
      <c r="B72" s="34" t="s">
        <v>438</v>
      </c>
      <c r="C72" s="34"/>
      <c r="D72" s="34"/>
      <c r="E72" s="34"/>
      <c r="F72" s="34"/>
      <c r="G72" s="34"/>
      <c r="H72" s="34"/>
      <c r="I72" s="34"/>
    </row>
    <row r="73" customFormat="false" ht="43.5" hidden="false" customHeight="true" outlineLevel="0" collapsed="false">
      <c r="B73" s="35" t="s">
        <v>439</v>
      </c>
      <c r="C73" s="35"/>
      <c r="D73" s="35"/>
      <c r="E73" s="35"/>
      <c r="F73" s="35"/>
      <c r="G73" s="35"/>
      <c r="H73" s="35"/>
      <c r="I73" s="35"/>
    </row>
    <row r="74" customFormat="false" ht="16.5" hidden="false" customHeight="true" outlineLevel="0" collapsed="false">
      <c r="B74" s="34" t="s">
        <v>440</v>
      </c>
      <c r="C74" s="34"/>
      <c r="D74" s="34"/>
      <c r="E74" s="34"/>
      <c r="F74" s="34"/>
      <c r="G74" s="34"/>
      <c r="H74" s="34"/>
      <c r="I74" s="34"/>
    </row>
    <row r="75" customFormat="false" ht="43.5" hidden="false" customHeight="true" outlineLevel="0" collapsed="false">
      <c r="B75" s="35" t="s">
        <v>441</v>
      </c>
      <c r="C75" s="35"/>
      <c r="D75" s="35"/>
      <c r="E75" s="35"/>
      <c r="F75" s="35"/>
      <c r="G75" s="35"/>
      <c r="H75" s="35"/>
      <c r="I75" s="35"/>
    </row>
    <row r="77" customFormat="false" ht="15" hidden="false" customHeight="false" outlineLevel="0" collapsed="false">
      <c r="B77" s="27" t="s">
        <v>206</v>
      </c>
      <c r="C77" s="28"/>
      <c r="D77" s="28"/>
      <c r="E77" s="28"/>
      <c r="F77" s="28"/>
      <c r="G77" s="28"/>
      <c r="H77" s="28"/>
      <c r="I77" s="28"/>
    </row>
    <row r="78" customFormat="false" ht="16.5" hidden="false" customHeight="true" outlineLevel="0" collapsed="false">
      <c r="B78" s="29" t="s">
        <v>442</v>
      </c>
      <c r="C78" s="29"/>
      <c r="D78" s="29"/>
      <c r="E78" s="29"/>
      <c r="F78" s="29"/>
      <c r="G78" s="29"/>
      <c r="H78" s="29"/>
      <c r="I78" s="29"/>
    </row>
    <row r="79" customFormat="false" ht="16.5" hidden="false" customHeight="true" outlineLevel="0" collapsed="false">
      <c r="B79" s="29" t="s">
        <v>443</v>
      </c>
      <c r="C79" s="29"/>
      <c r="D79" s="29"/>
      <c r="E79" s="29"/>
      <c r="F79" s="29"/>
      <c r="G79" s="29"/>
      <c r="H79" s="29"/>
      <c r="I79" s="29"/>
    </row>
    <row r="80" customFormat="false" ht="16.5" hidden="false" customHeight="true" outlineLevel="0" collapsed="false">
      <c r="B80" s="29" t="s">
        <v>444</v>
      </c>
      <c r="C80" s="29"/>
      <c r="D80" s="29"/>
      <c r="E80" s="29"/>
      <c r="F80" s="29"/>
      <c r="G80" s="29"/>
      <c r="H80" s="29"/>
      <c r="I80" s="29"/>
    </row>
    <row r="81" customFormat="false" ht="16.5" hidden="false" customHeight="true" outlineLevel="0" collapsed="false">
      <c r="B81" s="29" t="s">
        <v>445</v>
      </c>
      <c r="C81" s="29"/>
      <c r="D81" s="29"/>
      <c r="E81" s="29"/>
      <c r="F81" s="29"/>
      <c r="G81" s="29"/>
      <c r="H81" s="29"/>
      <c r="I81" s="29"/>
    </row>
    <row r="82" customFormat="false" ht="16.5" hidden="false" customHeight="true" outlineLevel="0" collapsed="false">
      <c r="B82" s="29" t="s">
        <v>446</v>
      </c>
      <c r="C82" s="29"/>
      <c r="D82" s="29"/>
      <c r="E82" s="29"/>
      <c r="F82" s="29"/>
      <c r="G82" s="29"/>
      <c r="H82" s="29"/>
      <c r="I82" s="29"/>
    </row>
    <row r="84" customFormat="false" ht="15" hidden="false" customHeight="false" outlineLevel="0" collapsed="false">
      <c r="B84" s="27" t="s">
        <v>212</v>
      </c>
      <c r="C84" s="28"/>
      <c r="D84" s="28"/>
      <c r="E84" s="28"/>
      <c r="F84" s="28"/>
      <c r="G84" s="28"/>
      <c r="H84" s="28"/>
      <c r="I84" s="28"/>
    </row>
    <row r="85" customFormat="false" ht="16.5" hidden="false" customHeight="true" outlineLevel="0" collapsed="false">
      <c r="B85" s="36" t="s">
        <v>447</v>
      </c>
      <c r="C85" s="36"/>
      <c r="D85" s="36"/>
      <c r="E85" s="36"/>
      <c r="F85" s="36"/>
      <c r="G85" s="36"/>
      <c r="H85" s="36"/>
      <c r="I85" s="36"/>
    </row>
    <row r="86" customFormat="false" ht="30" hidden="false" customHeight="true" outlineLevel="0" collapsed="false">
      <c r="B86" s="37" t="s">
        <v>448</v>
      </c>
      <c r="C86" s="37"/>
      <c r="D86" s="37"/>
      <c r="E86" s="37"/>
      <c r="F86" s="37"/>
      <c r="G86" s="37"/>
      <c r="H86" s="37"/>
      <c r="I86" s="37"/>
    </row>
    <row r="87" customFormat="false" ht="16.5" hidden="false" customHeight="true" outlineLevel="0" collapsed="false">
      <c r="B87" s="36" t="s">
        <v>449</v>
      </c>
      <c r="C87" s="36"/>
      <c r="D87" s="36"/>
      <c r="E87" s="36"/>
      <c r="F87" s="36"/>
      <c r="G87" s="36"/>
      <c r="H87" s="36"/>
      <c r="I87" s="36"/>
    </row>
    <row r="88" customFormat="false" ht="30" hidden="false" customHeight="true" outlineLevel="0" collapsed="false">
      <c r="B88" s="37" t="s">
        <v>450</v>
      </c>
      <c r="C88" s="37"/>
      <c r="D88" s="37"/>
      <c r="E88" s="37"/>
      <c r="F88" s="37"/>
      <c r="G88" s="37"/>
      <c r="H88" s="37"/>
      <c r="I88" s="37"/>
    </row>
    <row r="89" customFormat="false" ht="16.5" hidden="false" customHeight="true" outlineLevel="0" collapsed="false">
      <c r="B89" s="36" t="s">
        <v>451</v>
      </c>
      <c r="C89" s="36"/>
      <c r="D89" s="36"/>
      <c r="E89" s="36"/>
      <c r="F89" s="36"/>
      <c r="G89" s="36"/>
      <c r="H89" s="36"/>
      <c r="I89" s="36"/>
    </row>
    <row r="90" customFormat="false" ht="30" hidden="false" customHeight="true" outlineLevel="0" collapsed="false">
      <c r="B90" s="37" t="s">
        <v>452</v>
      </c>
      <c r="C90" s="37"/>
      <c r="D90" s="37"/>
      <c r="E90" s="37"/>
      <c r="F90" s="37"/>
      <c r="G90" s="37"/>
      <c r="H90" s="37"/>
      <c r="I90" s="37"/>
    </row>
    <row r="91" customFormat="false" ht="16.5" hidden="false" customHeight="true" outlineLevel="0" collapsed="false">
      <c r="B91" s="36" t="s">
        <v>453</v>
      </c>
      <c r="C91" s="36"/>
      <c r="D91" s="36"/>
      <c r="E91" s="36"/>
      <c r="F91" s="36"/>
      <c r="G91" s="36"/>
      <c r="H91" s="36"/>
      <c r="I91" s="36"/>
    </row>
    <row r="92" customFormat="false" ht="30" hidden="false" customHeight="true" outlineLevel="0" collapsed="false">
      <c r="B92" s="37" t="s">
        <v>454</v>
      </c>
      <c r="C92" s="37"/>
      <c r="D92" s="37"/>
      <c r="E92" s="37"/>
      <c r="F92" s="37"/>
      <c r="G92" s="37"/>
      <c r="H92" s="37"/>
      <c r="I92" s="37"/>
    </row>
    <row r="93" customFormat="false" ht="16.5" hidden="false" customHeight="true" outlineLevel="0" collapsed="false">
      <c r="B93" s="36" t="s">
        <v>455</v>
      </c>
      <c r="C93" s="36"/>
      <c r="D93" s="36"/>
      <c r="E93" s="36"/>
      <c r="F93" s="36"/>
      <c r="G93" s="36"/>
      <c r="H93" s="36"/>
      <c r="I93" s="36"/>
    </row>
    <row r="94" customFormat="false" ht="30" hidden="false" customHeight="true" outlineLevel="0" collapsed="false">
      <c r="B94" s="37" t="s">
        <v>456</v>
      </c>
      <c r="C94" s="37"/>
      <c r="D94" s="37"/>
      <c r="E94" s="37"/>
      <c r="F94" s="37"/>
      <c r="G94" s="37"/>
      <c r="H94" s="37"/>
      <c r="I94" s="37"/>
    </row>
  </sheetData>
  <mergeCells count="42">
    <mergeCell ref="B4:I4"/>
    <mergeCell ref="B7:I7"/>
    <mergeCell ref="B8:I8"/>
    <mergeCell ref="B9:I9"/>
    <mergeCell ref="B10:I10"/>
    <mergeCell ref="B13:I13"/>
    <mergeCell ref="B14:I14"/>
    <mergeCell ref="B15:I15"/>
    <mergeCell ref="B16:I16"/>
    <mergeCell ref="C20:I20"/>
    <mergeCell ref="C21:I21"/>
    <mergeCell ref="C22:I22"/>
    <mergeCell ref="C23:I23"/>
    <mergeCell ref="C24:I24"/>
    <mergeCell ref="C25:I25"/>
    <mergeCell ref="C26:I26"/>
    <mergeCell ref="C27:I27"/>
    <mergeCell ref="B47:I47"/>
    <mergeCell ref="B65:I65"/>
    <mergeCell ref="B68:I68"/>
    <mergeCell ref="B69:I69"/>
    <mergeCell ref="B70:I70"/>
    <mergeCell ref="B71:I71"/>
    <mergeCell ref="B72:I72"/>
    <mergeCell ref="B73:I73"/>
    <mergeCell ref="B74:I74"/>
    <mergeCell ref="B75:I75"/>
    <mergeCell ref="B78:I78"/>
    <mergeCell ref="B79:I79"/>
    <mergeCell ref="B80:I80"/>
    <mergeCell ref="B81:I81"/>
    <mergeCell ref="B82:I82"/>
    <mergeCell ref="B85:I85"/>
    <mergeCell ref="B86:I86"/>
    <mergeCell ref="B87:I87"/>
    <mergeCell ref="B88:I88"/>
    <mergeCell ref="B89:I89"/>
    <mergeCell ref="B90:I90"/>
    <mergeCell ref="B91:I91"/>
    <mergeCell ref="B92:I92"/>
    <mergeCell ref="B93:I93"/>
    <mergeCell ref="B94:I94"/>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25" t="s">
        <v>457</v>
      </c>
      <c r="I1" s="26" t="s">
        <v>164</v>
      </c>
    </row>
    <row r="2" customFormat="false" ht="15" hidden="false" customHeight="false" outlineLevel="0" collapsed="false">
      <c r="B2" s="38" t="s">
        <v>458</v>
      </c>
    </row>
    <row r="4" customFormat="false" ht="15" hidden="false" customHeight="false" outlineLevel="0" collapsed="false">
      <c r="B4" s="27" t="s">
        <v>225</v>
      </c>
      <c r="C4" s="28"/>
      <c r="D4" s="28"/>
      <c r="E4" s="28"/>
      <c r="F4" s="28"/>
      <c r="G4" s="28"/>
      <c r="H4" s="28"/>
      <c r="I4" s="28"/>
    </row>
    <row r="5" customFormat="false" ht="30" hidden="false" customHeight="true" outlineLevel="0" collapsed="false">
      <c r="B5" s="29" t="s">
        <v>459</v>
      </c>
      <c r="C5" s="29"/>
      <c r="D5" s="29"/>
      <c r="E5" s="29"/>
      <c r="F5" s="29"/>
      <c r="G5" s="29"/>
      <c r="H5" s="29"/>
      <c r="I5" s="29"/>
    </row>
    <row r="7" customFormat="false" ht="15" hidden="false" customHeight="false" outlineLevel="0" collapsed="false">
      <c r="B7" s="27" t="s">
        <v>227</v>
      </c>
      <c r="C7" s="28"/>
      <c r="D7" s="28"/>
      <c r="E7" s="28"/>
      <c r="F7" s="28"/>
      <c r="G7" s="28"/>
      <c r="H7" s="28"/>
      <c r="I7" s="28"/>
    </row>
    <row r="8" customFormat="false" ht="16.5" hidden="false" customHeight="true" outlineLevel="0" collapsed="false">
      <c r="B8" s="29" t="s">
        <v>460</v>
      </c>
      <c r="C8" s="29"/>
      <c r="D8" s="29"/>
      <c r="E8" s="29"/>
      <c r="F8" s="29"/>
      <c r="G8" s="29"/>
      <c r="H8" s="29"/>
      <c r="I8" s="29"/>
    </row>
    <row r="9" customFormat="false" ht="16.5" hidden="false" customHeight="true" outlineLevel="0" collapsed="false">
      <c r="B9" s="29" t="s">
        <v>461</v>
      </c>
      <c r="C9" s="29"/>
      <c r="D9" s="29"/>
      <c r="E9" s="29"/>
      <c r="F9" s="29"/>
      <c r="G9" s="29"/>
      <c r="H9" s="29"/>
      <c r="I9" s="29"/>
    </row>
    <row r="10" customFormat="false" ht="30" hidden="false" customHeight="true" outlineLevel="0" collapsed="false">
      <c r="B10" s="29" t="s">
        <v>462</v>
      </c>
      <c r="C10" s="29"/>
      <c r="D10" s="29"/>
      <c r="E10" s="29"/>
      <c r="F10" s="29"/>
      <c r="G10" s="29"/>
      <c r="H10" s="29"/>
      <c r="I10" s="29"/>
    </row>
    <row r="11" customFormat="false" ht="16.5" hidden="false" customHeight="true" outlineLevel="0" collapsed="false">
      <c r="B11" s="29" t="s">
        <v>463</v>
      </c>
      <c r="C11" s="29"/>
      <c r="D11" s="29"/>
      <c r="E11" s="29"/>
      <c r="F11" s="29"/>
      <c r="G11" s="29"/>
      <c r="H11" s="29"/>
      <c r="I11" s="29"/>
    </row>
    <row r="13" customFormat="false" ht="15" hidden="false" customHeight="false" outlineLevel="0" collapsed="false">
      <c r="B13" s="27" t="s">
        <v>232</v>
      </c>
      <c r="C13" s="28"/>
      <c r="D13" s="28"/>
      <c r="E13" s="28"/>
      <c r="F13" s="28"/>
      <c r="G13" s="28"/>
      <c r="H13" s="28"/>
      <c r="I13" s="28"/>
    </row>
    <row r="14" customFormat="false" ht="15" hidden="false" customHeight="false" outlineLevel="0" collapsed="false">
      <c r="B14" s="12" t="s">
        <v>233</v>
      </c>
      <c r="C14" s="30" t="s">
        <v>18</v>
      </c>
    </row>
    <row r="15" customFormat="false" ht="15" hidden="false" customHeight="false" outlineLevel="0" collapsed="false">
      <c r="B15" s="16" t="s">
        <v>464</v>
      </c>
      <c r="C15" s="40" t="n">
        <v>0.075</v>
      </c>
    </row>
    <row r="16" customFormat="false" ht="15" hidden="false" customHeight="false" outlineLevel="0" collapsed="false">
      <c r="B16" s="16" t="s">
        <v>465</v>
      </c>
      <c r="C16" s="40" t="n">
        <v>0.08</v>
      </c>
    </row>
    <row r="17" customFormat="false" ht="15" hidden="false" customHeight="false" outlineLevel="0" collapsed="false">
      <c r="B17" s="16" t="s">
        <v>466</v>
      </c>
      <c r="C17" s="42" t="n">
        <v>5</v>
      </c>
    </row>
    <row r="18" customFormat="false" ht="15" hidden="false" customHeight="false" outlineLevel="0" collapsed="false">
      <c r="B18" s="16" t="s">
        <v>467</v>
      </c>
      <c r="C18" s="39" t="n">
        <v>100</v>
      </c>
    </row>
    <row r="19" customFormat="false" ht="15" hidden="false" customHeight="false" outlineLevel="0" collapsed="false">
      <c r="B19" s="16" t="s">
        <v>468</v>
      </c>
      <c r="C19" s="40" t="n">
        <v>0.005</v>
      </c>
    </row>
    <row r="20" customFormat="false" ht="15" hidden="false" customHeight="false" outlineLevel="0" collapsed="false">
      <c r="B20" s="16" t="s">
        <v>469</v>
      </c>
      <c r="C20" s="39" t="n">
        <v>25</v>
      </c>
    </row>
    <row r="22" customFormat="false" ht="15" hidden="false" customHeight="false" outlineLevel="0" collapsed="false">
      <c r="B22" s="43" t="s">
        <v>243</v>
      </c>
      <c r="C22" s="44"/>
      <c r="D22" s="44"/>
      <c r="E22" s="44"/>
      <c r="F22" s="44"/>
      <c r="G22" s="44"/>
      <c r="H22" s="44"/>
      <c r="I22" s="44"/>
    </row>
    <row r="23" customFormat="false" ht="15" hidden="false" customHeight="false" outlineLevel="0" collapsed="false">
      <c r="B23" s="12" t="s">
        <v>470</v>
      </c>
      <c r="C23" s="30" t="s">
        <v>471</v>
      </c>
      <c r="D23" s="30" t="s">
        <v>472</v>
      </c>
      <c r="E23" s="30" t="s">
        <v>473</v>
      </c>
      <c r="F23" s="30" t="s">
        <v>474</v>
      </c>
    </row>
    <row r="24" customFormat="false" ht="15" hidden="false" customHeight="false" outlineLevel="0" collapsed="false">
      <c r="B24" s="50" t="n">
        <v>1</v>
      </c>
      <c r="C24" s="58" t="n">
        <f aca="false">IF($B$24&lt;$C$17,$C$15*$C$18,$C$15*$C$18+$C$18)</f>
        <v>7.5</v>
      </c>
      <c r="D24" s="58" t="n">
        <f aca="false">1/(1+$C$16)^$B$24</f>
        <v>0.925925925925926</v>
      </c>
      <c r="E24" s="58" t="n">
        <f aca="false">$C$24*$D$24</f>
        <v>6.94444444444444</v>
      </c>
      <c r="F24" s="58" t="n">
        <f aca="false">$B$24*$E$24</f>
        <v>6.94444444444444</v>
      </c>
    </row>
    <row r="25" customFormat="false" ht="15" hidden="false" customHeight="false" outlineLevel="0" collapsed="false">
      <c r="B25" s="50" t="n">
        <v>2</v>
      </c>
      <c r="C25" s="58" t="n">
        <f aca="false">IF($B$25&lt;$C$17,$C$15*$C$18,$C$15*$C$18+$C$18)</f>
        <v>7.5</v>
      </c>
      <c r="D25" s="58" t="n">
        <f aca="false">1/(1+$C$16)^$B$25</f>
        <v>0.857338820301783</v>
      </c>
      <c r="E25" s="58" t="n">
        <f aca="false">$C$25*$D$25</f>
        <v>6.43004115226337</v>
      </c>
      <c r="F25" s="58" t="n">
        <f aca="false">$B$25*$E$25</f>
        <v>12.8600823045267</v>
      </c>
    </row>
    <row r="26" customFormat="false" ht="15" hidden="false" customHeight="false" outlineLevel="0" collapsed="false">
      <c r="B26" s="50" t="n">
        <v>3</v>
      </c>
      <c r="C26" s="58" t="n">
        <f aca="false">IF($B$26&lt;$C$17,$C$15*$C$18,$C$15*$C$18+$C$18)</f>
        <v>7.5</v>
      </c>
      <c r="D26" s="58" t="n">
        <f aca="false">1/(1+$C$16)^$B$26</f>
        <v>0.79383224102017</v>
      </c>
      <c r="E26" s="58" t="n">
        <f aca="false">$C$26*$D$26</f>
        <v>5.95374180765127</v>
      </c>
      <c r="F26" s="58" t="n">
        <f aca="false">$B$26*$E$26</f>
        <v>17.8612254229538</v>
      </c>
    </row>
    <row r="27" customFormat="false" ht="15" hidden="false" customHeight="false" outlineLevel="0" collapsed="false">
      <c r="B27" s="50" t="n">
        <v>4</v>
      </c>
      <c r="C27" s="58" t="n">
        <f aca="false">IF($B$27&lt;$C$17,$C$15*$C$18,$C$15*$C$18+$C$18)</f>
        <v>7.5</v>
      </c>
      <c r="D27" s="58" t="n">
        <f aca="false">1/(1+$C$16)^$B$27</f>
        <v>0.735029852796453</v>
      </c>
      <c r="E27" s="58" t="n">
        <f aca="false">$C$27*$D$27</f>
        <v>5.5127238959734</v>
      </c>
      <c r="F27" s="58" t="n">
        <f aca="false">$B$27*$E$27</f>
        <v>22.0508955838936</v>
      </c>
    </row>
    <row r="28" customFormat="false" ht="15" hidden="false" customHeight="false" outlineLevel="0" collapsed="false">
      <c r="B28" s="50" t="n">
        <v>5</v>
      </c>
      <c r="C28" s="58" t="n">
        <f aca="false">IF($B$28&lt;$C$17,$C$15*$C$18,$C$15*$C$18+$C$18)</f>
        <v>107.5</v>
      </c>
      <c r="D28" s="58" t="n">
        <f aca="false">1/(1+$C$16)^$B$28</f>
        <v>0.680583197033753</v>
      </c>
      <c r="E28" s="58" t="n">
        <f aca="false">$C$28*$D$28</f>
        <v>73.1626936811285</v>
      </c>
      <c r="F28" s="58" t="n">
        <f aca="false">$B$28*$E$28</f>
        <v>365.813468405642</v>
      </c>
    </row>
    <row r="30" customFormat="false" ht="15" hidden="false" customHeight="false" outlineLevel="0" collapsed="false">
      <c r="B30" s="31" t="s">
        <v>475</v>
      </c>
      <c r="C30" s="59" t="n">
        <f aca="false">SUM($E$24:$E$28)</f>
        <v>98.0036449814609</v>
      </c>
    </row>
    <row r="31" customFormat="false" ht="15" hidden="false" customHeight="false" outlineLevel="0" collapsed="false">
      <c r="B31" s="16" t="s">
        <v>476</v>
      </c>
      <c r="C31" s="58" t="n">
        <f aca="false">SUM($F$24:$F$28)/$C$30</f>
        <v>4.34198254811805</v>
      </c>
    </row>
    <row r="32" customFormat="false" ht="15" hidden="false" customHeight="false" outlineLevel="0" collapsed="false">
      <c r="B32" s="31" t="s">
        <v>59</v>
      </c>
      <c r="C32" s="59" t="n">
        <f aca="false">$C$31/(1+$C$16)</f>
        <v>4.02035421122042</v>
      </c>
    </row>
    <row r="33" customFormat="false" ht="15" hidden="false" customHeight="false" outlineLevel="0" collapsed="false">
      <c r="B33" s="16" t="s">
        <v>477</v>
      </c>
      <c r="C33" s="46" t="n">
        <f aca="false">-$C$32*$C$19</f>
        <v>-0.0201017710561021</v>
      </c>
    </row>
    <row r="34" customFormat="false" ht="15" hidden="false" customHeight="false" outlineLevel="0" collapsed="false">
      <c r="B34" s="16" t="s">
        <v>478</v>
      </c>
      <c r="C34" s="58" t="n">
        <f aca="false">-PV($C$16+$C$19,$C$17,$C$15*$C$18,$C$18)</f>
        <v>96.0593579210404</v>
      </c>
    </row>
    <row r="35" customFormat="false" ht="15" hidden="false" customHeight="false" outlineLevel="0" collapsed="false">
      <c r="B35" s="16" t="s">
        <v>479</v>
      </c>
      <c r="C35" s="46" t="n">
        <f aca="false">$C$34/$C$30-1</f>
        <v>-0.0198389259990107</v>
      </c>
    </row>
    <row r="36" customFormat="false" ht="15" hidden="false" customHeight="false" outlineLevel="0" collapsed="false">
      <c r="B36" s="16" t="s">
        <v>480</v>
      </c>
      <c r="C36" s="45" t="n">
        <f aca="false">$C$20*$C$30/$C$18</f>
        <v>24.5009112453652</v>
      </c>
    </row>
    <row r="37" customFormat="false" ht="15" hidden="false" customHeight="false" outlineLevel="0" collapsed="false">
      <c r="B37" s="16" t="s">
        <v>481</v>
      </c>
      <c r="C37" s="45" t="n">
        <f aca="false">-$C$36*$C$33</f>
        <v>0.492511708520209</v>
      </c>
    </row>
    <row r="39" customFormat="false" ht="15" hidden="false" customHeight="false" outlineLevel="0" collapsed="false">
      <c r="B39" s="43" t="s">
        <v>249</v>
      </c>
      <c r="C39" s="44"/>
      <c r="D39" s="44"/>
      <c r="E39" s="44"/>
      <c r="F39" s="44"/>
      <c r="G39" s="44"/>
      <c r="H39" s="44"/>
      <c r="I39" s="44"/>
    </row>
    <row r="40" customFormat="false" ht="16.5" hidden="false" customHeight="true" outlineLevel="0" collapsed="false">
      <c r="B40" s="48" t="s">
        <v>482</v>
      </c>
      <c r="C40" s="48"/>
      <c r="D40" s="48"/>
      <c r="E40" s="48"/>
      <c r="F40" s="48"/>
      <c r="G40" s="48"/>
      <c r="H40" s="48"/>
      <c r="I40" s="48"/>
    </row>
  </sheetData>
  <mergeCells count="6">
    <mergeCell ref="B5:I5"/>
    <mergeCell ref="B8:I8"/>
    <mergeCell ref="B9:I9"/>
    <mergeCell ref="B10:I10"/>
    <mergeCell ref="B11:I11"/>
    <mergeCell ref="B40:I40"/>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25" t="s">
        <v>483</v>
      </c>
      <c r="I1" s="26" t="s">
        <v>164</v>
      </c>
    </row>
    <row r="2" customFormat="false" ht="15" hidden="false" customHeight="false" outlineLevel="0" collapsed="false">
      <c r="B2" s="38" t="s">
        <v>484</v>
      </c>
    </row>
    <row r="4" customFormat="false" ht="15" hidden="false" customHeight="false" outlineLevel="0" collapsed="false">
      <c r="B4" s="27" t="s">
        <v>225</v>
      </c>
      <c r="C4" s="28"/>
      <c r="D4" s="28"/>
      <c r="E4" s="28"/>
      <c r="F4" s="28"/>
      <c r="G4" s="28"/>
      <c r="H4" s="28"/>
      <c r="I4" s="28"/>
    </row>
    <row r="5" customFormat="false" ht="30" hidden="false" customHeight="true" outlineLevel="0" collapsed="false">
      <c r="B5" s="29" t="s">
        <v>485</v>
      </c>
      <c r="C5" s="29"/>
      <c r="D5" s="29"/>
      <c r="E5" s="29"/>
      <c r="F5" s="29"/>
      <c r="G5" s="29"/>
      <c r="H5" s="29"/>
      <c r="I5" s="29"/>
    </row>
    <row r="7" customFormat="false" ht="15" hidden="false" customHeight="false" outlineLevel="0" collapsed="false">
      <c r="B7" s="27" t="s">
        <v>227</v>
      </c>
      <c r="C7" s="28"/>
      <c r="D7" s="28"/>
      <c r="E7" s="28"/>
      <c r="F7" s="28"/>
      <c r="G7" s="28"/>
      <c r="H7" s="28"/>
      <c r="I7" s="28"/>
    </row>
    <row r="8" customFormat="false" ht="16.5" hidden="false" customHeight="true" outlineLevel="0" collapsed="false">
      <c r="B8" s="29" t="s">
        <v>486</v>
      </c>
      <c r="C8" s="29"/>
      <c r="D8" s="29"/>
      <c r="E8" s="29"/>
      <c r="F8" s="29"/>
      <c r="G8" s="29"/>
      <c r="H8" s="29"/>
      <c r="I8" s="29"/>
    </row>
    <row r="9" customFormat="false" ht="30" hidden="false" customHeight="true" outlineLevel="0" collapsed="false">
      <c r="B9" s="29" t="s">
        <v>487</v>
      </c>
      <c r="C9" s="29"/>
      <c r="D9" s="29"/>
      <c r="E9" s="29"/>
      <c r="F9" s="29"/>
      <c r="G9" s="29"/>
      <c r="H9" s="29"/>
      <c r="I9" s="29"/>
    </row>
    <row r="10" customFormat="false" ht="16.5" hidden="false" customHeight="true" outlineLevel="0" collapsed="false">
      <c r="B10" s="29" t="s">
        <v>488</v>
      </c>
      <c r="C10" s="29"/>
      <c r="D10" s="29"/>
      <c r="E10" s="29"/>
      <c r="F10" s="29"/>
      <c r="G10" s="29"/>
      <c r="H10" s="29"/>
      <c r="I10" s="29"/>
    </row>
    <row r="11" customFormat="false" ht="16.5" hidden="false" customHeight="true" outlineLevel="0" collapsed="false">
      <c r="B11" s="29" t="s">
        <v>489</v>
      </c>
      <c r="C11" s="29"/>
      <c r="D11" s="29"/>
      <c r="E11" s="29"/>
      <c r="F11" s="29"/>
      <c r="G11" s="29"/>
      <c r="H11" s="29"/>
      <c r="I11" s="29"/>
    </row>
    <row r="13" customFormat="false" ht="15" hidden="false" customHeight="false" outlineLevel="0" collapsed="false">
      <c r="B13" s="27" t="s">
        <v>232</v>
      </c>
      <c r="C13" s="28"/>
      <c r="D13" s="28"/>
      <c r="E13" s="28"/>
      <c r="F13" s="28"/>
      <c r="G13" s="28"/>
      <c r="H13" s="28"/>
      <c r="I13" s="28"/>
    </row>
    <row r="14" customFormat="false" ht="15" hidden="false" customHeight="false" outlineLevel="0" collapsed="false">
      <c r="B14" s="12" t="s">
        <v>233</v>
      </c>
      <c r="C14" s="30" t="s">
        <v>18</v>
      </c>
    </row>
    <row r="15" customFormat="false" ht="15" hidden="false" customHeight="false" outlineLevel="0" collapsed="false">
      <c r="B15" s="16" t="s">
        <v>464</v>
      </c>
      <c r="C15" s="40" t="n">
        <v>0.072</v>
      </c>
    </row>
    <row r="16" customFormat="false" ht="15" hidden="false" customHeight="false" outlineLevel="0" collapsed="false">
      <c r="B16" s="16" t="s">
        <v>465</v>
      </c>
      <c r="C16" s="40" t="n">
        <v>0.072</v>
      </c>
    </row>
    <row r="17" customFormat="false" ht="15" hidden="false" customHeight="false" outlineLevel="0" collapsed="false">
      <c r="B17" s="16" t="s">
        <v>466</v>
      </c>
      <c r="C17" s="42" t="n">
        <v>10</v>
      </c>
    </row>
    <row r="18" customFormat="false" ht="15" hidden="false" customHeight="false" outlineLevel="0" collapsed="false">
      <c r="B18" s="16" t="s">
        <v>467</v>
      </c>
      <c r="C18" s="39" t="n">
        <v>100</v>
      </c>
    </row>
    <row r="20" customFormat="false" ht="15" hidden="false" customHeight="false" outlineLevel="0" collapsed="false">
      <c r="B20" s="43" t="s">
        <v>243</v>
      </c>
      <c r="C20" s="44"/>
      <c r="D20" s="44"/>
      <c r="E20" s="44"/>
      <c r="F20" s="44"/>
      <c r="G20" s="44"/>
      <c r="H20" s="44"/>
      <c r="I20" s="44"/>
    </row>
    <row r="21" customFormat="false" ht="15" hidden="false" customHeight="false" outlineLevel="0" collapsed="false">
      <c r="B21" s="12" t="s">
        <v>470</v>
      </c>
      <c r="C21" s="30" t="s">
        <v>471</v>
      </c>
      <c r="D21" s="30" t="s">
        <v>472</v>
      </c>
      <c r="E21" s="30" t="s">
        <v>473</v>
      </c>
      <c r="F21" s="30" t="s">
        <v>474</v>
      </c>
      <c r="G21" s="30" t="s">
        <v>490</v>
      </c>
    </row>
    <row r="22" customFormat="false" ht="15" hidden="false" customHeight="false" outlineLevel="0" collapsed="false">
      <c r="B22" s="50" t="n">
        <v>1</v>
      </c>
      <c r="C22" s="58" t="n">
        <f aca="false">IF($B$22&lt;$C$17,$C$15*$C$18,$C$15*$C$18+$C$18)</f>
        <v>7.2</v>
      </c>
      <c r="D22" s="58" t="n">
        <f aca="false">1/(1+$C$16)^$B$22</f>
        <v>0.932835820895522</v>
      </c>
      <c r="E22" s="58" t="n">
        <f aca="false">$C$22*$D$22</f>
        <v>6.71641791044776</v>
      </c>
      <c r="F22" s="58" t="n">
        <f aca="false">$B$22*$E$22</f>
        <v>6.71641791044776</v>
      </c>
      <c r="G22" s="58" t="n">
        <f aca="false">$B$22*($B$22+1)*$E$22</f>
        <v>13.4328358208955</v>
      </c>
    </row>
    <row r="23" customFormat="false" ht="15" hidden="false" customHeight="false" outlineLevel="0" collapsed="false">
      <c r="B23" s="50" t="n">
        <v>2</v>
      </c>
      <c r="C23" s="58" t="n">
        <f aca="false">IF($B$23&lt;$C$17,$C$15*$C$18,$C$15*$C$18+$C$18)</f>
        <v>7.2</v>
      </c>
      <c r="D23" s="58" t="n">
        <f aca="false">1/(1+$C$16)^$B$23</f>
        <v>0.870182668745823</v>
      </c>
      <c r="E23" s="58" t="n">
        <f aca="false">$C$23*$D$23</f>
        <v>6.26531521496993</v>
      </c>
      <c r="F23" s="58" t="n">
        <f aca="false">$B$23*$E$23</f>
        <v>12.5306304299399</v>
      </c>
      <c r="G23" s="58" t="n">
        <f aca="false">$B$23*($B$23+1)*$E$23</f>
        <v>37.5918912898196</v>
      </c>
    </row>
    <row r="24" customFormat="false" ht="15" hidden="false" customHeight="false" outlineLevel="0" collapsed="false">
      <c r="B24" s="50" t="n">
        <v>3</v>
      </c>
      <c r="C24" s="58" t="n">
        <f aca="false">IF($B$24&lt;$C$17,$C$15*$C$18,$C$15*$C$18+$C$18)</f>
        <v>7.2</v>
      </c>
      <c r="D24" s="58" t="n">
        <f aca="false">1/(1+$C$16)^$B$24</f>
        <v>0.811737564128566</v>
      </c>
      <c r="E24" s="58" t="n">
        <f aca="false">$C$24*$D$24</f>
        <v>5.84451046172568</v>
      </c>
      <c r="F24" s="58" t="n">
        <f aca="false">$B$24*$E$24</f>
        <v>17.533531385177</v>
      </c>
      <c r="G24" s="58" t="n">
        <f aca="false">$B$24*($B$24+1)*$E$24</f>
        <v>70.1341255407081</v>
      </c>
    </row>
    <row r="25" customFormat="false" ht="15" hidden="false" customHeight="false" outlineLevel="0" collapsed="false">
      <c r="B25" s="50" t="n">
        <v>4</v>
      </c>
      <c r="C25" s="58" t="n">
        <f aca="false">IF($B$25&lt;$C$17,$C$15*$C$18,$C$15*$C$18+$C$18)</f>
        <v>7.2</v>
      </c>
      <c r="D25" s="58" t="n">
        <f aca="false">1/(1+$C$16)^$B$25</f>
        <v>0.757217876985603</v>
      </c>
      <c r="E25" s="58" t="n">
        <f aca="false">$C$25*$D$25</f>
        <v>5.45196871429634</v>
      </c>
      <c r="F25" s="58" t="n">
        <f aca="false">$B$25*$E$25</f>
        <v>21.8078748571854</v>
      </c>
      <c r="G25" s="58" t="n">
        <f aca="false">$B$25*($B$25+1)*$E$25</f>
        <v>109.039374285927</v>
      </c>
    </row>
    <row r="26" customFormat="false" ht="15" hidden="false" customHeight="false" outlineLevel="0" collapsed="false">
      <c r="B26" s="50" t="n">
        <v>5</v>
      </c>
      <c r="C26" s="58" t="n">
        <f aca="false">IF($B$26&lt;$C$17,$C$15*$C$18,$C$15*$C$18+$C$18)</f>
        <v>7.2</v>
      </c>
      <c r="D26" s="58" t="n">
        <f aca="false">1/(1+$C$16)^$B$26</f>
        <v>0.706359959874629</v>
      </c>
      <c r="E26" s="58" t="n">
        <f aca="false">$C$26*$D$26</f>
        <v>5.08579171109733</v>
      </c>
      <c r="F26" s="58" t="n">
        <f aca="false">$B$26*$E$26</f>
        <v>25.4289585554867</v>
      </c>
      <c r="G26" s="58" t="n">
        <f aca="false">$B$26*($B$26+1)*$E$26</f>
        <v>152.57375133292</v>
      </c>
    </row>
    <row r="27" customFormat="false" ht="15" hidden="false" customHeight="false" outlineLevel="0" collapsed="false">
      <c r="B27" s="50" t="n">
        <v>6</v>
      </c>
      <c r="C27" s="58" t="n">
        <f aca="false">IF($B$27&lt;$C$17,$C$15*$C$18,$C$15*$C$18+$C$18)</f>
        <v>7.2</v>
      </c>
      <c r="D27" s="58" t="n">
        <f aca="false">1/(1+$C$16)^$B$27</f>
        <v>0.658917873017378</v>
      </c>
      <c r="E27" s="58" t="n">
        <f aca="false">$C$27*$D$27</f>
        <v>4.74420868572512</v>
      </c>
      <c r="F27" s="58" t="n">
        <f aca="false">$B$27*$E$27</f>
        <v>28.4652521143507</v>
      </c>
      <c r="G27" s="58" t="n">
        <f aca="false">$B$27*($B$27+1)*$E$27</f>
        <v>199.256764800455</v>
      </c>
    </row>
    <row r="28" customFormat="false" ht="15" hidden="false" customHeight="false" outlineLevel="0" collapsed="false">
      <c r="B28" s="50" t="n">
        <v>7</v>
      </c>
      <c r="C28" s="58" t="n">
        <f aca="false">IF($B$28&lt;$C$17,$C$15*$C$18,$C$15*$C$18+$C$18)</f>
        <v>7.2</v>
      </c>
      <c r="D28" s="58" t="n">
        <f aca="false">1/(1+$C$16)^$B$28</f>
        <v>0.614662194978897</v>
      </c>
      <c r="E28" s="58" t="n">
        <f aca="false">$C$28*$D$28</f>
        <v>4.42556780384806</v>
      </c>
      <c r="F28" s="58" t="n">
        <f aca="false">$B$28*$E$28</f>
        <v>30.9789746269364</v>
      </c>
      <c r="G28" s="58" t="n">
        <f aca="false">$B$28*($B$28+1)*$E$28</f>
        <v>247.831797015491</v>
      </c>
    </row>
    <row r="29" customFormat="false" ht="15" hidden="false" customHeight="false" outlineLevel="0" collapsed="false">
      <c r="B29" s="50" t="n">
        <v>8</v>
      </c>
      <c r="C29" s="58" t="n">
        <f aca="false">IF($B$29&lt;$C$17,$C$15*$C$18,$C$15*$C$18+$C$18)</f>
        <v>7.2</v>
      </c>
      <c r="D29" s="58" t="n">
        <f aca="false">1/(1+$C$16)^$B$29</f>
        <v>0.573378913226583</v>
      </c>
      <c r="E29" s="58" t="n">
        <f aca="false">$C$29*$D$29</f>
        <v>4.1283281752314</v>
      </c>
      <c r="F29" s="58" t="n">
        <f aca="false">$B$29*$E$29</f>
        <v>33.0266254018512</v>
      </c>
      <c r="G29" s="58" t="n">
        <f aca="false">$B$29*($B$29+1)*$E$29</f>
        <v>297.239628616661</v>
      </c>
    </row>
    <row r="30" customFormat="false" ht="15" hidden="false" customHeight="false" outlineLevel="0" collapsed="false">
      <c r="B30" s="50" t="n">
        <v>9</v>
      </c>
      <c r="C30" s="58" t="n">
        <f aca="false">IF($B$30&lt;$C$17,$C$15*$C$18,$C$15*$C$18+$C$18)</f>
        <v>7.2</v>
      </c>
      <c r="D30" s="58" t="n">
        <f aca="false">1/(1+$C$16)^$B$30</f>
        <v>0.534868389203902</v>
      </c>
      <c r="E30" s="58" t="n">
        <f aca="false">$C$30*$D$30</f>
        <v>3.8510524022681</v>
      </c>
      <c r="F30" s="58" t="n">
        <f aca="false">$B$30*$E$30</f>
        <v>34.6594716204129</v>
      </c>
      <c r="G30" s="58" t="n">
        <f aca="false">$B$30*($B$30+1)*$E$30</f>
        <v>346.594716204129</v>
      </c>
    </row>
    <row r="31" customFormat="false" ht="15" hidden="false" customHeight="false" outlineLevel="0" collapsed="false">
      <c r="B31" s="50" t="n">
        <v>10</v>
      </c>
      <c r="C31" s="58" t="n">
        <f aca="false">IF($B$31&lt;$C$17,$C$15*$C$18,$C$15*$C$18+$C$18)</f>
        <v>107.2</v>
      </c>
      <c r="D31" s="58" t="n">
        <f aca="false">1/(1+$C$16)^$B$31</f>
        <v>0.498944392914088</v>
      </c>
      <c r="E31" s="58" t="n">
        <f aca="false">$C$31*$D$31</f>
        <v>53.4868389203903</v>
      </c>
      <c r="F31" s="58" t="n">
        <f aca="false">$B$31*$E$31</f>
        <v>534.868389203902</v>
      </c>
      <c r="G31" s="58" t="n">
        <f aca="false">$B$31*($B$31+1)*$E$31</f>
        <v>5883.55228124293</v>
      </c>
    </row>
    <row r="33" customFormat="false" ht="15" hidden="false" customHeight="false" outlineLevel="0" collapsed="false">
      <c r="B33" s="16" t="s">
        <v>475</v>
      </c>
      <c r="C33" s="58" t="n">
        <f aca="false">SUM($E$22:$E$31)</f>
        <v>100</v>
      </c>
    </row>
    <row r="34" customFormat="false" ht="15" hidden="false" customHeight="false" outlineLevel="0" collapsed="false">
      <c r="B34" s="16" t="s">
        <v>417</v>
      </c>
      <c r="C34" s="58" t="n">
        <f aca="false">SUM($F$22:$F$31)/$C$33</f>
        <v>7.46016126105691</v>
      </c>
    </row>
    <row r="35" customFormat="false" ht="15" hidden="false" customHeight="false" outlineLevel="0" collapsed="false">
      <c r="B35" s="31" t="s">
        <v>59</v>
      </c>
      <c r="C35" s="59" t="n">
        <f aca="false">$C$34/(1+$C$16)</f>
        <v>6.95910565397099</v>
      </c>
    </row>
    <row r="36" customFormat="false" ht="15" hidden="false" customHeight="false" outlineLevel="0" collapsed="false">
      <c r="B36" s="31" t="s">
        <v>63</v>
      </c>
      <c r="C36" s="59" t="n">
        <f aca="false">SUM($G$22:$G$31)/($C$33*(1+$C$16)^2)</f>
        <v>64.02148973663</v>
      </c>
    </row>
    <row r="38" customFormat="false" ht="15" hidden="false" customHeight="false" outlineLevel="0" collapsed="false">
      <c r="B38" s="12" t="s">
        <v>468</v>
      </c>
      <c r="C38" s="30" t="s">
        <v>491</v>
      </c>
      <c r="D38" s="30" t="s">
        <v>492</v>
      </c>
      <c r="E38" s="30" t="s">
        <v>493</v>
      </c>
      <c r="F38" s="30" t="s">
        <v>494</v>
      </c>
    </row>
    <row r="39" customFormat="false" ht="15" hidden="false" customHeight="false" outlineLevel="0" collapsed="false">
      <c r="B39" s="60" t="n">
        <v>-0.02</v>
      </c>
      <c r="C39" s="46" t="n">
        <f aca="false">-$C$35*$B$39</f>
        <v>0.13918211307942</v>
      </c>
      <c r="D39" s="46" t="n">
        <f aca="false">$C$39+0.5*$C$36*$B$39^2</f>
        <v>0.151986411026746</v>
      </c>
      <c r="E39" s="46" t="n">
        <f aca="false">$F$39/$C$33-1</f>
        <v>0.152945675241247</v>
      </c>
      <c r="F39" s="58" t="n">
        <f aca="false">-PV($C$16+$B$39,$C$17,$C$15*$C$18,$C$18)</f>
        <v>115.294567524125</v>
      </c>
    </row>
    <row r="40" customFormat="false" ht="15" hidden="false" customHeight="false" outlineLevel="0" collapsed="false">
      <c r="B40" s="60" t="n">
        <v>-0.01</v>
      </c>
      <c r="C40" s="46" t="n">
        <f aca="false">-$C$35*$B$40</f>
        <v>0.0695910565397099</v>
      </c>
      <c r="D40" s="46" t="n">
        <f aca="false">$C$40+0.5*$C$36*$B$40^2</f>
        <v>0.0727921310265415</v>
      </c>
      <c r="E40" s="46" t="n">
        <f aca="false">$F$40/$C$33-1</f>
        <v>0.072908461363886</v>
      </c>
      <c r="F40" s="58" t="n">
        <f aca="false">-PV($C$16+$B$40,$C$17,$C$15*$C$18,$C$18)</f>
        <v>107.290846136389</v>
      </c>
    </row>
    <row r="41" customFormat="false" ht="15" hidden="false" customHeight="false" outlineLevel="0" collapsed="false">
      <c r="B41" s="60" t="n">
        <v>0.01</v>
      </c>
      <c r="C41" s="46" t="n">
        <f aca="false">-$C$35*$B$41</f>
        <v>-0.0695910565397099</v>
      </c>
      <c r="D41" s="46" t="n">
        <f aca="false">$C$41+0.5*$C$36*$B$41^2</f>
        <v>-0.0663899820528784</v>
      </c>
      <c r="E41" s="46" t="n">
        <f aca="false">$F$41/$C$33-1</f>
        <v>-0.0664996887010658</v>
      </c>
      <c r="F41" s="58" t="n">
        <f aca="false">-PV($C$16+$B$41,$C$17,$C$15*$C$18,$C$18)</f>
        <v>93.3500311298934</v>
      </c>
    </row>
    <row r="42" customFormat="false" ht="15" hidden="false" customHeight="false" outlineLevel="0" collapsed="false">
      <c r="B42" s="60" t="n">
        <v>0.02</v>
      </c>
      <c r="C42" s="46" t="n">
        <f aca="false">-$C$35*$B$42</f>
        <v>-0.13918211307942</v>
      </c>
      <c r="D42" s="46" t="n">
        <f aca="false">$C$42+0.5*$C$36*$B$42^2</f>
        <v>-0.126377815132094</v>
      </c>
      <c r="E42" s="46" t="n">
        <f aca="false">$F$42/$C$33-1</f>
        <v>-0.127230913726216</v>
      </c>
      <c r="F42" s="58" t="n">
        <f aca="false">-PV($C$16+$B$42,$C$17,$C$15*$C$18,$C$18)</f>
        <v>87.2769086273784</v>
      </c>
    </row>
    <row r="44" customFormat="false" ht="15" hidden="false" customHeight="false" outlineLevel="0" collapsed="false">
      <c r="B44" s="43" t="s">
        <v>249</v>
      </c>
      <c r="C44" s="44"/>
      <c r="D44" s="44"/>
      <c r="E44" s="44"/>
      <c r="F44" s="44"/>
      <c r="G44" s="44"/>
      <c r="H44" s="44"/>
      <c r="I44" s="44"/>
    </row>
    <row r="45" customFormat="false" ht="43.5" hidden="false" customHeight="true" outlineLevel="0" collapsed="false">
      <c r="B45" s="47" t="s">
        <v>495</v>
      </c>
      <c r="C45" s="47"/>
      <c r="D45" s="47"/>
      <c r="E45" s="47"/>
      <c r="F45" s="47"/>
      <c r="G45" s="47"/>
      <c r="H45" s="47"/>
      <c r="I45" s="47"/>
    </row>
    <row r="46" customFormat="false" ht="16.5" hidden="false" customHeight="true" outlineLevel="0" collapsed="false">
      <c r="B46" s="48" t="s">
        <v>496</v>
      </c>
      <c r="C46" s="48"/>
      <c r="D46" s="48"/>
      <c r="E46" s="48"/>
      <c r="F46" s="48"/>
      <c r="G46" s="48"/>
      <c r="H46" s="48"/>
      <c r="I46" s="48"/>
    </row>
  </sheetData>
  <mergeCells count="7">
    <mergeCell ref="B5:I5"/>
    <mergeCell ref="B8:I8"/>
    <mergeCell ref="B9:I9"/>
    <mergeCell ref="B10:I10"/>
    <mergeCell ref="B11:I11"/>
    <mergeCell ref="B45:I45"/>
    <mergeCell ref="B46:I46"/>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25" t="s">
        <v>497</v>
      </c>
      <c r="I1" s="26" t="s">
        <v>164</v>
      </c>
    </row>
    <row r="2" customFormat="false" ht="15" hidden="false" customHeight="false" outlineLevel="0" collapsed="false">
      <c r="B2" s="38" t="s">
        <v>498</v>
      </c>
    </row>
    <row r="4" customFormat="false" ht="15" hidden="false" customHeight="false" outlineLevel="0" collapsed="false">
      <c r="B4" s="27" t="s">
        <v>225</v>
      </c>
      <c r="C4" s="28"/>
      <c r="D4" s="28"/>
      <c r="E4" s="28"/>
      <c r="F4" s="28"/>
      <c r="G4" s="28"/>
      <c r="H4" s="28"/>
      <c r="I4" s="28"/>
    </row>
    <row r="5" customFormat="false" ht="43.5" hidden="false" customHeight="true" outlineLevel="0" collapsed="false">
      <c r="B5" s="29" t="s">
        <v>499</v>
      </c>
      <c r="C5" s="29"/>
      <c r="D5" s="29"/>
      <c r="E5" s="29"/>
      <c r="F5" s="29"/>
      <c r="G5" s="29"/>
      <c r="H5" s="29"/>
      <c r="I5" s="29"/>
    </row>
    <row r="7" customFormat="false" ht="15" hidden="false" customHeight="false" outlineLevel="0" collapsed="false">
      <c r="B7" s="27" t="s">
        <v>227</v>
      </c>
      <c r="C7" s="28"/>
      <c r="D7" s="28"/>
      <c r="E7" s="28"/>
      <c r="F7" s="28"/>
      <c r="G7" s="28"/>
      <c r="H7" s="28"/>
      <c r="I7" s="28"/>
    </row>
    <row r="8" customFormat="false" ht="16.5" hidden="false" customHeight="true" outlineLevel="0" collapsed="false">
      <c r="B8" s="29" t="s">
        <v>500</v>
      </c>
      <c r="C8" s="29"/>
      <c r="D8" s="29"/>
      <c r="E8" s="29"/>
      <c r="F8" s="29"/>
      <c r="G8" s="29"/>
      <c r="H8" s="29"/>
      <c r="I8" s="29"/>
    </row>
    <row r="9" customFormat="false" ht="16.5" hidden="false" customHeight="true" outlineLevel="0" collapsed="false">
      <c r="B9" s="29" t="s">
        <v>501</v>
      </c>
      <c r="C9" s="29"/>
      <c r="D9" s="29"/>
      <c r="E9" s="29"/>
      <c r="F9" s="29"/>
      <c r="G9" s="29"/>
      <c r="H9" s="29"/>
      <c r="I9" s="29"/>
    </row>
    <row r="10" customFormat="false" ht="16.5" hidden="false" customHeight="true" outlineLevel="0" collapsed="false">
      <c r="B10" s="29" t="s">
        <v>502</v>
      </c>
      <c r="C10" s="29"/>
      <c r="D10" s="29"/>
      <c r="E10" s="29"/>
      <c r="F10" s="29"/>
      <c r="G10" s="29"/>
      <c r="H10" s="29"/>
      <c r="I10" s="29"/>
    </row>
    <row r="11" customFormat="false" ht="16.5" hidden="false" customHeight="true" outlineLevel="0" collapsed="false">
      <c r="B11" s="29" t="s">
        <v>503</v>
      </c>
      <c r="C11" s="29"/>
      <c r="D11" s="29"/>
      <c r="E11" s="29"/>
      <c r="F11" s="29"/>
      <c r="G11" s="29"/>
      <c r="H11" s="29"/>
      <c r="I11" s="29"/>
    </row>
    <row r="13" customFormat="false" ht="15" hidden="false" customHeight="false" outlineLevel="0" collapsed="false">
      <c r="B13" s="27" t="s">
        <v>232</v>
      </c>
      <c r="C13" s="28"/>
      <c r="D13" s="28"/>
      <c r="E13" s="28"/>
      <c r="F13" s="28"/>
      <c r="G13" s="28"/>
      <c r="H13" s="28"/>
      <c r="I13" s="28"/>
    </row>
    <row r="14" customFormat="false" ht="15" hidden="false" customHeight="false" outlineLevel="0" collapsed="false">
      <c r="B14" s="12" t="s">
        <v>233</v>
      </c>
      <c r="C14" s="30" t="s">
        <v>18</v>
      </c>
    </row>
    <row r="15" customFormat="false" ht="15" hidden="false" customHeight="false" outlineLevel="0" collapsed="false">
      <c r="B15" s="16" t="s">
        <v>235</v>
      </c>
      <c r="C15" s="39" t="n">
        <v>500</v>
      </c>
    </row>
    <row r="16" customFormat="false" ht="15" hidden="false" customHeight="false" outlineLevel="0" collapsed="false">
      <c r="B16" s="16" t="s">
        <v>59</v>
      </c>
      <c r="C16" s="39" t="n">
        <v>5.2</v>
      </c>
    </row>
    <row r="17" customFormat="false" ht="15" hidden="false" customHeight="false" outlineLevel="0" collapsed="false">
      <c r="B17" s="16" t="s">
        <v>504</v>
      </c>
      <c r="C17" s="39" t="n">
        <v>130</v>
      </c>
      <c r="D17" s="6" t="s">
        <v>505</v>
      </c>
    </row>
    <row r="18" customFormat="false" ht="15" hidden="false" customHeight="false" outlineLevel="0" collapsed="false">
      <c r="B18" s="16" t="s">
        <v>339</v>
      </c>
      <c r="C18" s="41" t="n">
        <v>0.0001</v>
      </c>
    </row>
    <row r="19" customFormat="false" ht="15" hidden="false" customHeight="false" outlineLevel="0" collapsed="false">
      <c r="B19" s="16" t="s">
        <v>359</v>
      </c>
      <c r="C19" s="42" t="n">
        <v>10000000</v>
      </c>
    </row>
    <row r="20" customFormat="false" ht="15" hidden="false" customHeight="false" outlineLevel="0" collapsed="false">
      <c r="B20" s="16" t="s">
        <v>506</v>
      </c>
      <c r="C20" s="42" t="n">
        <v>25</v>
      </c>
    </row>
    <row r="22" customFormat="false" ht="15" hidden="false" customHeight="false" outlineLevel="0" collapsed="false">
      <c r="B22" s="43" t="s">
        <v>243</v>
      </c>
      <c r="C22" s="44"/>
      <c r="D22" s="44"/>
      <c r="E22" s="44"/>
      <c r="F22" s="44"/>
      <c r="G22" s="44"/>
      <c r="H22" s="44"/>
      <c r="I22" s="44"/>
    </row>
    <row r="23" customFormat="false" ht="15" hidden="false" customHeight="false" outlineLevel="0" collapsed="false">
      <c r="B23" s="16" t="s">
        <v>507</v>
      </c>
      <c r="C23" s="61" t="n">
        <f aca="false">$C$15*$C$19*$C$16*$C$18</f>
        <v>2600000</v>
      </c>
    </row>
    <row r="24" customFormat="false" ht="15" hidden="false" customHeight="false" outlineLevel="0" collapsed="false">
      <c r="B24" s="31" t="s">
        <v>508</v>
      </c>
      <c r="C24" s="62" t="n">
        <f aca="false">$C$23/$C$17</f>
        <v>20000</v>
      </c>
    </row>
    <row r="25" customFormat="false" ht="15" hidden="false" customHeight="false" outlineLevel="0" collapsed="false">
      <c r="B25" s="16" t="s">
        <v>509</v>
      </c>
      <c r="C25" s="45" t="n">
        <f aca="false">$C$23*$C$20/$C$19</f>
        <v>6.5</v>
      </c>
    </row>
    <row r="26" customFormat="false" ht="15" hidden="false" customHeight="false" outlineLevel="0" collapsed="false">
      <c r="B26" s="16" t="s">
        <v>510</v>
      </c>
      <c r="C26" s="45" t="n">
        <f aca="false">ROUND($C$24,0)*$C$17*$C$20/$C$19</f>
        <v>6.5</v>
      </c>
    </row>
    <row r="27" customFormat="false" ht="15" hidden="false" customHeight="false" outlineLevel="0" collapsed="false">
      <c r="B27" s="16" t="s">
        <v>511</v>
      </c>
      <c r="C27" s="45" t="n">
        <f aca="false">$C$26-$C$25</f>
        <v>0</v>
      </c>
    </row>
    <row r="29" customFormat="false" ht="15" hidden="false" customHeight="false" outlineLevel="0" collapsed="false">
      <c r="B29" s="43" t="s">
        <v>249</v>
      </c>
      <c r="C29" s="44"/>
      <c r="D29" s="44"/>
      <c r="E29" s="44"/>
      <c r="F29" s="44"/>
      <c r="G29" s="44"/>
      <c r="H29" s="44"/>
      <c r="I29" s="44"/>
    </row>
    <row r="30" customFormat="false" ht="30" hidden="false" customHeight="true" outlineLevel="0" collapsed="false">
      <c r="B30" s="47" t="s">
        <v>512</v>
      </c>
      <c r="C30" s="47"/>
      <c r="D30" s="47"/>
      <c r="E30" s="47"/>
      <c r="F30" s="47"/>
      <c r="G30" s="47"/>
      <c r="H30" s="47"/>
      <c r="I30" s="47"/>
    </row>
    <row r="31" customFormat="false" ht="16.5" hidden="false" customHeight="true" outlineLevel="0" collapsed="false">
      <c r="B31" s="47" t="s">
        <v>513</v>
      </c>
      <c r="C31" s="47"/>
      <c r="D31" s="47"/>
      <c r="E31" s="47"/>
      <c r="F31" s="47"/>
      <c r="G31" s="47"/>
      <c r="H31" s="47"/>
      <c r="I31" s="47"/>
    </row>
    <row r="32" customFormat="false" ht="16.5" hidden="false" customHeight="true" outlineLevel="0" collapsed="false">
      <c r="B32" s="48" t="s">
        <v>514</v>
      </c>
      <c r="C32" s="48"/>
      <c r="D32" s="48"/>
      <c r="E32" s="48"/>
      <c r="F32" s="48"/>
      <c r="G32" s="48"/>
      <c r="H32" s="48"/>
      <c r="I32" s="48"/>
    </row>
  </sheetData>
  <mergeCells count="8">
    <mergeCell ref="B5:I5"/>
    <mergeCell ref="B8:I8"/>
    <mergeCell ref="B9:I9"/>
    <mergeCell ref="B10:I10"/>
    <mergeCell ref="B11:I11"/>
    <mergeCell ref="B30:I30"/>
    <mergeCell ref="B31:I31"/>
    <mergeCell ref="B32:I32"/>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25" t="s">
        <v>515</v>
      </c>
      <c r="I1" s="26" t="s">
        <v>164</v>
      </c>
    </row>
    <row r="2" customFormat="false" ht="15" hidden="false" customHeight="false" outlineLevel="0" collapsed="false">
      <c r="B2" s="38" t="s">
        <v>516</v>
      </c>
    </row>
    <row r="4" customFormat="false" ht="15" hidden="false" customHeight="false" outlineLevel="0" collapsed="false">
      <c r="B4" s="27" t="s">
        <v>225</v>
      </c>
      <c r="C4" s="28"/>
      <c r="D4" s="28"/>
      <c r="E4" s="28"/>
      <c r="F4" s="28"/>
      <c r="G4" s="28"/>
      <c r="H4" s="28"/>
      <c r="I4" s="28"/>
    </row>
    <row r="5" customFormat="false" ht="43.5" hidden="false" customHeight="true" outlineLevel="0" collapsed="false">
      <c r="B5" s="29" t="s">
        <v>517</v>
      </c>
      <c r="C5" s="29"/>
      <c r="D5" s="29"/>
      <c r="E5" s="29"/>
      <c r="F5" s="29"/>
      <c r="G5" s="29"/>
      <c r="H5" s="29"/>
      <c r="I5" s="29"/>
    </row>
    <row r="7" customFormat="false" ht="15" hidden="false" customHeight="false" outlineLevel="0" collapsed="false">
      <c r="B7" s="27" t="s">
        <v>227</v>
      </c>
      <c r="C7" s="28"/>
      <c r="D7" s="28"/>
      <c r="E7" s="28"/>
      <c r="F7" s="28"/>
      <c r="G7" s="28"/>
      <c r="H7" s="28"/>
      <c r="I7" s="28"/>
    </row>
    <row r="8" customFormat="false" ht="16.5" hidden="false" customHeight="true" outlineLevel="0" collapsed="false">
      <c r="B8" s="29" t="s">
        <v>518</v>
      </c>
      <c r="C8" s="29"/>
      <c r="D8" s="29"/>
      <c r="E8" s="29"/>
      <c r="F8" s="29"/>
      <c r="G8" s="29"/>
      <c r="H8" s="29"/>
      <c r="I8" s="29"/>
    </row>
    <row r="9" customFormat="false" ht="16.5" hidden="false" customHeight="true" outlineLevel="0" collapsed="false">
      <c r="B9" s="29" t="s">
        <v>519</v>
      </c>
      <c r="C9" s="29"/>
      <c r="D9" s="29"/>
      <c r="E9" s="29"/>
      <c r="F9" s="29"/>
      <c r="G9" s="29"/>
      <c r="H9" s="29"/>
      <c r="I9" s="29"/>
    </row>
    <row r="10" customFormat="false" ht="16.5" hidden="false" customHeight="true" outlineLevel="0" collapsed="false">
      <c r="B10" s="29" t="s">
        <v>520</v>
      </c>
      <c r="C10" s="29"/>
      <c r="D10" s="29"/>
      <c r="E10" s="29"/>
      <c r="F10" s="29"/>
      <c r="G10" s="29"/>
      <c r="H10" s="29"/>
      <c r="I10" s="29"/>
    </row>
    <row r="11" customFormat="false" ht="16.5" hidden="false" customHeight="true" outlineLevel="0" collapsed="false">
      <c r="B11" s="29" t="s">
        <v>521</v>
      </c>
      <c r="C11" s="29"/>
      <c r="D11" s="29"/>
      <c r="E11" s="29"/>
      <c r="F11" s="29"/>
      <c r="G11" s="29"/>
      <c r="H11" s="29"/>
      <c r="I11" s="29"/>
    </row>
    <row r="13" customFormat="false" ht="15" hidden="false" customHeight="false" outlineLevel="0" collapsed="false">
      <c r="B13" s="27" t="s">
        <v>232</v>
      </c>
      <c r="C13" s="28"/>
      <c r="D13" s="28"/>
      <c r="E13" s="28"/>
      <c r="F13" s="28"/>
      <c r="G13" s="28"/>
      <c r="H13" s="28"/>
      <c r="I13" s="28"/>
    </row>
    <row r="14" customFormat="false" ht="15" hidden="false" customHeight="false" outlineLevel="0" collapsed="false">
      <c r="B14" s="12" t="s">
        <v>233</v>
      </c>
      <c r="C14" s="30" t="s">
        <v>18</v>
      </c>
    </row>
    <row r="15" customFormat="false" ht="15" hidden="false" customHeight="false" outlineLevel="0" collapsed="false">
      <c r="B15" s="16" t="s">
        <v>235</v>
      </c>
      <c r="C15" s="39" t="n">
        <v>25</v>
      </c>
    </row>
    <row r="16" customFormat="false" ht="15" hidden="false" customHeight="false" outlineLevel="0" collapsed="false">
      <c r="B16" s="16" t="s">
        <v>522</v>
      </c>
      <c r="C16" s="39" t="n">
        <v>1.25</v>
      </c>
    </row>
    <row r="17" customFormat="false" ht="15" hidden="false" customHeight="false" outlineLevel="0" collapsed="false">
      <c r="B17" s="16" t="s">
        <v>523</v>
      </c>
      <c r="C17" s="42" t="n">
        <v>24500</v>
      </c>
    </row>
    <row r="18" customFormat="false" ht="15" hidden="false" customHeight="false" outlineLevel="0" collapsed="false">
      <c r="B18" s="16" t="s">
        <v>524</v>
      </c>
      <c r="C18" s="42" t="n">
        <v>75</v>
      </c>
      <c r="D18" s="6" t="s">
        <v>525</v>
      </c>
    </row>
    <row r="19" customFormat="false" ht="15" hidden="false" customHeight="false" outlineLevel="0" collapsed="false">
      <c r="B19" s="16" t="s">
        <v>526</v>
      </c>
      <c r="C19" s="39" t="n">
        <v>0.6</v>
      </c>
    </row>
    <row r="20" customFormat="false" ht="15" hidden="false" customHeight="false" outlineLevel="0" collapsed="false">
      <c r="B20" s="16" t="s">
        <v>527</v>
      </c>
      <c r="C20" s="57" t="n">
        <v>0.08</v>
      </c>
    </row>
    <row r="21" customFormat="false" ht="15" hidden="false" customHeight="false" outlineLevel="0" collapsed="false">
      <c r="B21" s="16" t="s">
        <v>359</v>
      </c>
      <c r="C21" s="42" t="n">
        <v>10000000</v>
      </c>
    </row>
    <row r="23" customFormat="false" ht="15" hidden="false" customHeight="false" outlineLevel="0" collapsed="false">
      <c r="B23" s="43" t="s">
        <v>243</v>
      </c>
      <c r="C23" s="44"/>
      <c r="D23" s="44"/>
      <c r="E23" s="44"/>
      <c r="F23" s="44"/>
      <c r="G23" s="44"/>
      <c r="H23" s="44"/>
      <c r="I23" s="44"/>
    </row>
    <row r="24" customFormat="false" ht="15" hidden="false" customHeight="false" outlineLevel="0" collapsed="false">
      <c r="B24" s="16" t="s">
        <v>528</v>
      </c>
      <c r="C24" s="61" t="n">
        <f aca="false">$C$17*$C$18</f>
        <v>1837500</v>
      </c>
    </row>
    <row r="25" customFormat="false" ht="15" hidden="false" customHeight="false" outlineLevel="0" collapsed="false">
      <c r="B25" s="16" t="s">
        <v>529</v>
      </c>
      <c r="C25" s="54" t="n">
        <f aca="false">$C$16*$C$15*$C$21/$C$24</f>
        <v>170.068027210884</v>
      </c>
    </row>
    <row r="26" customFormat="false" ht="15" hidden="false" customHeight="false" outlineLevel="0" collapsed="false">
      <c r="B26" s="31" t="s">
        <v>530</v>
      </c>
      <c r="C26" s="62" t="n">
        <f aca="false">ROUND($C$25,0)</f>
        <v>170</v>
      </c>
    </row>
    <row r="27" customFormat="false" ht="15" hidden="false" customHeight="false" outlineLevel="0" collapsed="false">
      <c r="B27" s="16" t="s">
        <v>531</v>
      </c>
      <c r="C27" s="54" t="n">
        <f aca="false">($C$16-$C$19)*$C$15*$C$21/$C$24</f>
        <v>88.4353741496599</v>
      </c>
    </row>
    <row r="28" customFormat="false" ht="15" hidden="false" customHeight="false" outlineLevel="0" collapsed="false">
      <c r="B28" s="31" t="s">
        <v>530</v>
      </c>
      <c r="C28" s="62" t="n">
        <f aca="false">ROUND($C$27,0)</f>
        <v>88</v>
      </c>
    </row>
    <row r="29" customFormat="false" ht="15" hidden="false" customHeight="false" outlineLevel="0" collapsed="false">
      <c r="B29" s="16" t="s">
        <v>509</v>
      </c>
      <c r="C29" s="45" t="n">
        <f aca="false">$C$16*$C$20*$C$15</f>
        <v>2.5</v>
      </c>
    </row>
    <row r="30" customFormat="false" ht="15" hidden="false" customHeight="false" outlineLevel="0" collapsed="false">
      <c r="B30" s="16" t="s">
        <v>532</v>
      </c>
      <c r="C30" s="45" t="n">
        <f aca="false">$C$26*$C$24*$C$20/$C$21</f>
        <v>2.499</v>
      </c>
    </row>
    <row r="31" customFormat="false" ht="15" hidden="false" customHeight="false" outlineLevel="0" collapsed="false">
      <c r="B31" s="16" t="s">
        <v>533</v>
      </c>
      <c r="C31" s="45" t="n">
        <f aca="false">$C$30-$C$29</f>
        <v>-0.00099999999999989</v>
      </c>
    </row>
    <row r="33" customFormat="false" ht="15" hidden="false" customHeight="false" outlineLevel="0" collapsed="false">
      <c r="B33" s="43" t="s">
        <v>249</v>
      </c>
      <c r="C33" s="44"/>
      <c r="D33" s="44"/>
      <c r="E33" s="44"/>
      <c r="F33" s="44"/>
      <c r="G33" s="44"/>
      <c r="H33" s="44"/>
      <c r="I33" s="44"/>
    </row>
    <row r="34" customFormat="false" ht="16.5" hidden="false" customHeight="true" outlineLevel="0" collapsed="false">
      <c r="B34" s="47" t="s">
        <v>534</v>
      </c>
      <c r="C34" s="47"/>
      <c r="D34" s="47"/>
      <c r="E34" s="47"/>
      <c r="F34" s="47"/>
      <c r="G34" s="47"/>
      <c r="H34" s="47"/>
      <c r="I34" s="47"/>
    </row>
    <row r="35" customFormat="false" ht="16.5" hidden="false" customHeight="true" outlineLevel="0" collapsed="false">
      <c r="B35" s="48" t="s">
        <v>535</v>
      </c>
      <c r="C35" s="48"/>
      <c r="D35" s="48"/>
      <c r="E35" s="48"/>
      <c r="F35" s="48"/>
      <c r="G35" s="48"/>
      <c r="H35" s="48"/>
      <c r="I35" s="48"/>
    </row>
  </sheetData>
  <mergeCells count="7">
    <mergeCell ref="B5:I5"/>
    <mergeCell ref="B8:I8"/>
    <mergeCell ref="B9:I9"/>
    <mergeCell ref="B10:I10"/>
    <mergeCell ref="B11:I11"/>
    <mergeCell ref="B34:I34"/>
    <mergeCell ref="B35:I35"/>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25" t="s">
        <v>536</v>
      </c>
      <c r="I1" s="26" t="s">
        <v>164</v>
      </c>
    </row>
    <row r="2" customFormat="false" ht="15" hidden="false" customHeight="false" outlineLevel="0" collapsed="false">
      <c r="B2" s="38" t="s">
        <v>537</v>
      </c>
    </row>
    <row r="4" customFormat="false" ht="15" hidden="false" customHeight="false" outlineLevel="0" collapsed="false">
      <c r="B4" s="27" t="s">
        <v>225</v>
      </c>
      <c r="C4" s="28"/>
      <c r="D4" s="28"/>
      <c r="E4" s="28"/>
      <c r="F4" s="28"/>
      <c r="G4" s="28"/>
      <c r="H4" s="28"/>
      <c r="I4" s="28"/>
    </row>
    <row r="5" customFormat="false" ht="43.5" hidden="false" customHeight="true" outlineLevel="0" collapsed="false">
      <c r="B5" s="29" t="s">
        <v>538</v>
      </c>
      <c r="C5" s="29"/>
      <c r="D5" s="29"/>
      <c r="E5" s="29"/>
      <c r="F5" s="29"/>
      <c r="G5" s="29"/>
      <c r="H5" s="29"/>
      <c r="I5" s="29"/>
    </row>
    <row r="7" customFormat="false" ht="15" hidden="false" customHeight="false" outlineLevel="0" collapsed="false">
      <c r="B7" s="27" t="s">
        <v>227</v>
      </c>
      <c r="C7" s="28"/>
      <c r="D7" s="28"/>
      <c r="E7" s="28"/>
      <c r="F7" s="28"/>
      <c r="G7" s="28"/>
      <c r="H7" s="28"/>
      <c r="I7" s="28"/>
    </row>
    <row r="8" customFormat="false" ht="16.5" hidden="false" customHeight="true" outlineLevel="0" collapsed="false">
      <c r="B8" s="29" t="s">
        <v>539</v>
      </c>
      <c r="C8" s="29"/>
      <c r="D8" s="29"/>
      <c r="E8" s="29"/>
      <c r="F8" s="29"/>
      <c r="G8" s="29"/>
      <c r="H8" s="29"/>
      <c r="I8" s="29"/>
    </row>
    <row r="9" customFormat="false" ht="16.5" hidden="false" customHeight="true" outlineLevel="0" collapsed="false">
      <c r="B9" s="29" t="s">
        <v>540</v>
      </c>
      <c r="C9" s="29"/>
      <c r="D9" s="29"/>
      <c r="E9" s="29"/>
      <c r="F9" s="29"/>
      <c r="G9" s="29"/>
      <c r="H9" s="29"/>
      <c r="I9" s="29"/>
    </row>
    <row r="10" customFormat="false" ht="30" hidden="false" customHeight="true" outlineLevel="0" collapsed="false">
      <c r="B10" s="29" t="s">
        <v>541</v>
      </c>
      <c r="C10" s="29"/>
      <c r="D10" s="29"/>
      <c r="E10" s="29"/>
      <c r="F10" s="29"/>
      <c r="G10" s="29"/>
      <c r="H10" s="29"/>
      <c r="I10" s="29"/>
    </row>
    <row r="11" customFormat="false" ht="16.5" hidden="false" customHeight="true" outlineLevel="0" collapsed="false">
      <c r="B11" s="29" t="s">
        <v>542</v>
      </c>
      <c r="C11" s="29"/>
      <c r="D11" s="29"/>
      <c r="E11" s="29"/>
      <c r="F11" s="29"/>
      <c r="G11" s="29"/>
      <c r="H11" s="29"/>
      <c r="I11" s="29"/>
    </row>
    <row r="13" customFormat="false" ht="15" hidden="false" customHeight="false" outlineLevel="0" collapsed="false">
      <c r="B13" s="27" t="s">
        <v>232</v>
      </c>
      <c r="C13" s="28"/>
      <c r="D13" s="28"/>
      <c r="E13" s="28"/>
      <c r="F13" s="28"/>
      <c r="G13" s="28"/>
      <c r="H13" s="28"/>
      <c r="I13" s="28"/>
    </row>
    <row r="14" customFormat="false" ht="15" hidden="false" customHeight="false" outlineLevel="0" collapsed="false">
      <c r="B14" s="12" t="s">
        <v>233</v>
      </c>
      <c r="C14" s="30" t="s">
        <v>18</v>
      </c>
    </row>
    <row r="15" customFormat="false" ht="15" hidden="false" customHeight="false" outlineLevel="0" collapsed="false">
      <c r="B15" s="16" t="s">
        <v>543</v>
      </c>
      <c r="C15" s="39" t="n">
        <v>1500</v>
      </c>
    </row>
    <row r="16" customFormat="false" ht="15" hidden="false" customHeight="false" outlineLevel="0" collapsed="false">
      <c r="B16" s="16" t="s">
        <v>544</v>
      </c>
      <c r="C16" s="39" t="n">
        <v>1500</v>
      </c>
    </row>
    <row r="17" customFormat="false" ht="15" hidden="false" customHeight="false" outlineLevel="0" collapsed="false">
      <c r="B17" s="16" t="s">
        <v>545</v>
      </c>
      <c r="C17" s="40" t="n">
        <v>0.065</v>
      </c>
    </row>
    <row r="18" customFormat="false" ht="15" hidden="false" customHeight="false" outlineLevel="0" collapsed="false">
      <c r="B18" s="16" t="s">
        <v>546</v>
      </c>
      <c r="C18" s="40" t="n">
        <v>0.25</v>
      </c>
    </row>
    <row r="19" customFormat="false" ht="15" hidden="false" customHeight="false" outlineLevel="0" collapsed="false">
      <c r="B19" s="16" t="s">
        <v>547</v>
      </c>
      <c r="C19" s="39" t="n">
        <v>0.25</v>
      </c>
    </row>
    <row r="20" customFormat="false" ht="15" hidden="false" customHeight="false" outlineLevel="0" collapsed="false">
      <c r="B20" s="16" t="s">
        <v>548</v>
      </c>
      <c r="C20" s="39" t="n">
        <v>30</v>
      </c>
    </row>
    <row r="22" customFormat="false" ht="15" hidden="false" customHeight="false" outlineLevel="0" collapsed="false">
      <c r="B22" s="43" t="s">
        <v>243</v>
      </c>
      <c r="C22" s="44"/>
      <c r="D22" s="44"/>
      <c r="E22" s="44"/>
      <c r="F22" s="44"/>
      <c r="G22" s="44"/>
      <c r="H22" s="44"/>
      <c r="I22" s="44"/>
    </row>
    <row r="23" customFormat="false" ht="15" hidden="false" customHeight="false" outlineLevel="0" collapsed="false">
      <c r="B23" s="16" t="s">
        <v>549</v>
      </c>
      <c r="C23" s="58" t="n">
        <f aca="false">(LN($C$15/$C$16)+($C$17+$C$18^2/2)*$C$19)/($C$18*SQRT($C$19))</f>
        <v>0.1925</v>
      </c>
    </row>
    <row r="24" customFormat="false" ht="15" hidden="false" customHeight="false" outlineLevel="0" collapsed="false">
      <c r="B24" s="16" t="s">
        <v>550</v>
      </c>
      <c r="C24" s="58" t="n">
        <f aca="false">$C$23-$C$18*SQRT($C$19)</f>
        <v>0.0675</v>
      </c>
    </row>
    <row r="25" customFormat="false" ht="15" hidden="false" customHeight="false" outlineLevel="0" collapsed="false">
      <c r="B25" s="16" t="s">
        <v>551</v>
      </c>
      <c r="C25" s="58" t="n">
        <f aca="false">_xlfn.NORM.S.DIST($C$23,TRUE())</f>
        <v>0.576324716044821</v>
      </c>
    </row>
    <row r="26" customFormat="false" ht="15" hidden="false" customHeight="false" outlineLevel="0" collapsed="false">
      <c r="B26" s="16" t="s">
        <v>552</v>
      </c>
      <c r="C26" s="58" t="n">
        <f aca="false">_xlfn.NORM.S.DIST($C$24,TRUE())</f>
        <v>0.526908168986463</v>
      </c>
    </row>
    <row r="27" customFormat="false" ht="15" hidden="false" customHeight="false" outlineLevel="0" collapsed="false">
      <c r="B27" s="31" t="s">
        <v>75</v>
      </c>
      <c r="C27" s="63" t="n">
        <f aca="false">$C$15*$C$25-$C$16*EXP(-$C$17*$C$19)*$C$26</f>
        <v>86.8644176442424</v>
      </c>
    </row>
    <row r="28" customFormat="false" ht="15" hidden="false" customHeight="false" outlineLevel="0" collapsed="false">
      <c r="B28" s="31" t="s">
        <v>553</v>
      </c>
      <c r="C28" s="59" t="n">
        <f aca="false">$C$25</f>
        <v>0.576324716044821</v>
      </c>
    </row>
    <row r="29" customFormat="false" ht="15" hidden="false" customHeight="false" outlineLevel="0" collapsed="false">
      <c r="B29" s="31" t="s">
        <v>554</v>
      </c>
      <c r="C29" s="64" t="n">
        <f aca="false">_xlfn.NORM.S.DIST($C$23,FALSE())/($C$15*$C$18*SQRT($C$19))</f>
        <v>0.00208863297988866</v>
      </c>
    </row>
    <row r="30" customFormat="false" ht="15" hidden="false" customHeight="false" outlineLevel="0" collapsed="false">
      <c r="B30" s="16" t="s">
        <v>555</v>
      </c>
      <c r="C30" s="58" t="n">
        <f aca="false">$C$15*_xlfn.NORM.S.DIST($C$23,FALSE())*SQRT($C$19)/100</f>
        <v>2.93714012796843</v>
      </c>
    </row>
    <row r="31" customFormat="false" ht="15" hidden="false" customHeight="false" outlineLevel="0" collapsed="false">
      <c r="B31" s="16" t="s">
        <v>556</v>
      </c>
      <c r="C31" s="58" t="n">
        <f aca="false">(-$C$15*_xlfn.NORM.S.DIST($C$23,FALSE())*$C$18/(2*SQRT($C$19))-$C$17*$C$16*EXP(-$C$17*$C$19)*$C$26)/365</f>
        <v>-0.540828709769633</v>
      </c>
    </row>
    <row r="32" customFormat="false" ht="15" hidden="false" customHeight="false" outlineLevel="0" collapsed="false">
      <c r="B32" s="16" t="s">
        <v>557</v>
      </c>
      <c r="C32" s="58" t="n">
        <f aca="false">$C$28*$C$20</f>
        <v>17.2897414813446</v>
      </c>
    </row>
    <row r="33" customFormat="false" ht="15" hidden="false" customHeight="false" outlineLevel="0" collapsed="false">
      <c r="B33" s="16" t="s">
        <v>558</v>
      </c>
      <c r="C33" s="58" t="n">
        <f aca="false">$C$32+0.5*$C$29*$C$20^2</f>
        <v>18.2296263222945</v>
      </c>
    </row>
    <row r="34" customFormat="false" ht="15" hidden="false" customHeight="false" outlineLevel="0" collapsed="false">
      <c r="B34" s="16" t="s">
        <v>559</v>
      </c>
      <c r="C34" s="58" t="n">
        <f aca="false">(LN(($C$15+$C$20)/$C$16)+($C$17+$C$18^2/2)*$C$19)/($C$18*SQRT($C$19))</f>
        <v>0.350921018369438</v>
      </c>
    </row>
    <row r="35" customFormat="false" ht="15" hidden="false" customHeight="false" outlineLevel="0" collapsed="false">
      <c r="B35" s="16" t="s">
        <v>560</v>
      </c>
      <c r="C35" s="58" t="n">
        <f aca="false">($C$15+$C$20)*_xlfn.NORM.S.DIST($C$34,TRUE())-$C$16*EXP(-$C$17*$C$19)*_xlfn.NORM.S.DIST($C$34-$C$18*SQRT($C$19),TRUE())</f>
        <v>105.076487667024</v>
      </c>
    </row>
    <row r="36" customFormat="false" ht="15" hidden="false" customHeight="false" outlineLevel="0" collapsed="false">
      <c r="B36" s="16" t="s">
        <v>561</v>
      </c>
      <c r="C36" s="58" t="n">
        <f aca="false">$C$35-$C$27</f>
        <v>18.2120700227814</v>
      </c>
    </row>
    <row r="38" customFormat="false" ht="15" hidden="false" customHeight="false" outlineLevel="0" collapsed="false">
      <c r="B38" s="43" t="s">
        <v>249</v>
      </c>
      <c r="C38" s="44"/>
      <c r="D38" s="44"/>
      <c r="E38" s="44"/>
      <c r="F38" s="44"/>
      <c r="G38" s="44"/>
      <c r="H38" s="44"/>
      <c r="I38" s="44"/>
    </row>
    <row r="39" customFormat="false" ht="30" hidden="false" customHeight="true" outlineLevel="0" collapsed="false">
      <c r="B39" s="47" t="s">
        <v>562</v>
      </c>
      <c r="C39" s="47"/>
      <c r="D39" s="47"/>
      <c r="E39" s="47"/>
      <c r="F39" s="47"/>
      <c r="G39" s="47"/>
      <c r="H39" s="47"/>
      <c r="I39" s="47"/>
    </row>
    <row r="40" customFormat="false" ht="16.5" hidden="false" customHeight="true" outlineLevel="0" collapsed="false">
      <c r="B40" s="48" t="s">
        <v>563</v>
      </c>
      <c r="C40" s="48"/>
      <c r="D40" s="48"/>
      <c r="E40" s="48"/>
      <c r="F40" s="48"/>
      <c r="G40" s="48"/>
      <c r="H40" s="48"/>
      <c r="I40" s="48"/>
    </row>
  </sheetData>
  <mergeCells count="7">
    <mergeCell ref="B5:I5"/>
    <mergeCell ref="B8:I8"/>
    <mergeCell ref="B9:I9"/>
    <mergeCell ref="B10:I10"/>
    <mergeCell ref="B11:I11"/>
    <mergeCell ref="B39:I39"/>
    <mergeCell ref="B40:I40"/>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25" t="s">
        <v>564</v>
      </c>
      <c r="I1" s="26" t="s">
        <v>164</v>
      </c>
    </row>
    <row r="2" customFormat="false" ht="15" hidden="false" customHeight="false" outlineLevel="0" collapsed="false">
      <c r="B2" s="38" t="s">
        <v>565</v>
      </c>
    </row>
    <row r="4" customFormat="false" ht="15" hidden="false" customHeight="false" outlineLevel="0" collapsed="false">
      <c r="B4" s="27" t="s">
        <v>225</v>
      </c>
      <c r="C4" s="28"/>
      <c r="D4" s="28"/>
      <c r="E4" s="28"/>
      <c r="F4" s="28"/>
      <c r="G4" s="28"/>
      <c r="H4" s="28"/>
      <c r="I4" s="28"/>
    </row>
    <row r="5" customFormat="false" ht="30" hidden="false" customHeight="true" outlineLevel="0" collapsed="false">
      <c r="B5" s="29" t="s">
        <v>566</v>
      </c>
      <c r="C5" s="29"/>
      <c r="D5" s="29"/>
      <c r="E5" s="29"/>
      <c r="F5" s="29"/>
      <c r="G5" s="29"/>
      <c r="H5" s="29"/>
      <c r="I5" s="29"/>
    </row>
    <row r="7" customFormat="false" ht="15" hidden="false" customHeight="false" outlineLevel="0" collapsed="false">
      <c r="B7" s="27" t="s">
        <v>227</v>
      </c>
      <c r="C7" s="28"/>
      <c r="D7" s="28"/>
      <c r="E7" s="28"/>
      <c r="F7" s="28"/>
      <c r="G7" s="28"/>
      <c r="H7" s="28"/>
      <c r="I7" s="28"/>
    </row>
    <row r="8" customFormat="false" ht="16.5" hidden="false" customHeight="true" outlineLevel="0" collapsed="false">
      <c r="B8" s="29" t="s">
        <v>567</v>
      </c>
      <c r="C8" s="29"/>
      <c r="D8" s="29"/>
      <c r="E8" s="29"/>
      <c r="F8" s="29"/>
      <c r="G8" s="29"/>
      <c r="H8" s="29"/>
      <c r="I8" s="29"/>
    </row>
    <row r="9" customFormat="false" ht="16.5" hidden="false" customHeight="true" outlineLevel="0" collapsed="false">
      <c r="B9" s="29" t="s">
        <v>568</v>
      </c>
      <c r="C9" s="29"/>
      <c r="D9" s="29"/>
      <c r="E9" s="29"/>
      <c r="F9" s="29"/>
      <c r="G9" s="29"/>
      <c r="H9" s="29"/>
      <c r="I9" s="29"/>
    </row>
    <row r="10" customFormat="false" ht="16.5" hidden="false" customHeight="true" outlineLevel="0" collapsed="false">
      <c r="B10" s="29" t="s">
        <v>569</v>
      </c>
      <c r="C10" s="29"/>
      <c r="D10" s="29"/>
      <c r="E10" s="29"/>
      <c r="F10" s="29"/>
      <c r="G10" s="29"/>
      <c r="H10" s="29"/>
      <c r="I10" s="29"/>
    </row>
    <row r="11" customFormat="false" ht="16.5" hidden="false" customHeight="true" outlineLevel="0" collapsed="false">
      <c r="B11" s="29" t="s">
        <v>570</v>
      </c>
      <c r="C11" s="29"/>
      <c r="D11" s="29"/>
      <c r="E11" s="29"/>
      <c r="F11" s="29"/>
      <c r="G11" s="29"/>
      <c r="H11" s="29"/>
      <c r="I11" s="29"/>
    </row>
    <row r="13" customFormat="false" ht="15" hidden="false" customHeight="false" outlineLevel="0" collapsed="false">
      <c r="B13" s="27" t="s">
        <v>232</v>
      </c>
      <c r="C13" s="28"/>
      <c r="D13" s="28"/>
      <c r="E13" s="28"/>
      <c r="F13" s="28"/>
      <c r="G13" s="28"/>
      <c r="H13" s="28"/>
      <c r="I13" s="28"/>
    </row>
    <row r="14" customFormat="false" ht="15" hidden="false" customHeight="false" outlineLevel="0" collapsed="false">
      <c r="B14" s="12" t="s">
        <v>233</v>
      </c>
      <c r="C14" s="30" t="s">
        <v>18</v>
      </c>
    </row>
    <row r="15" customFormat="false" ht="15" hidden="false" customHeight="false" outlineLevel="0" collapsed="false">
      <c r="B15" s="16" t="s">
        <v>571</v>
      </c>
      <c r="C15" s="42" t="n">
        <v>50000</v>
      </c>
    </row>
    <row r="16" customFormat="false" ht="15" hidden="false" customHeight="false" outlineLevel="0" collapsed="false">
      <c r="B16" s="16" t="s">
        <v>572</v>
      </c>
      <c r="C16" s="65" t="n">
        <v>0.55</v>
      </c>
    </row>
    <row r="17" customFormat="false" ht="15" hidden="false" customHeight="false" outlineLevel="0" collapsed="false">
      <c r="B17" s="16" t="s">
        <v>573</v>
      </c>
      <c r="C17" s="65" t="n">
        <v>0.0021</v>
      </c>
    </row>
    <row r="18" customFormat="false" ht="15" hidden="false" customHeight="false" outlineLevel="0" collapsed="false">
      <c r="B18" s="16" t="s">
        <v>574</v>
      </c>
      <c r="C18" s="65" t="n">
        <v>0.4</v>
      </c>
    </row>
    <row r="19" customFormat="false" ht="15" hidden="false" customHeight="false" outlineLevel="0" collapsed="false">
      <c r="B19" s="16" t="s">
        <v>575</v>
      </c>
      <c r="C19" s="65" t="n">
        <v>0.003</v>
      </c>
    </row>
    <row r="21" customFormat="false" ht="15" hidden="false" customHeight="false" outlineLevel="0" collapsed="false">
      <c r="B21" s="43" t="s">
        <v>243</v>
      </c>
      <c r="C21" s="44"/>
      <c r="D21" s="44"/>
      <c r="E21" s="44"/>
      <c r="F21" s="44"/>
      <c r="G21" s="44"/>
      <c r="H21" s="44"/>
      <c r="I21" s="44"/>
    </row>
    <row r="22" customFormat="false" ht="15" hidden="false" customHeight="false" outlineLevel="0" collapsed="false">
      <c r="B22" s="16" t="s">
        <v>576</v>
      </c>
      <c r="C22" s="66" t="n">
        <f aca="false">$C$15*$C$16</f>
        <v>27500</v>
      </c>
    </row>
    <row r="23" customFormat="false" ht="15" hidden="false" customHeight="false" outlineLevel="0" collapsed="false">
      <c r="B23" s="31" t="s">
        <v>577</v>
      </c>
      <c r="C23" s="62" t="n">
        <f aca="false">$C$15*$C$17/$C$19</f>
        <v>35000</v>
      </c>
    </row>
    <row r="24" customFormat="false" ht="15" hidden="false" customHeight="false" outlineLevel="0" collapsed="false">
      <c r="B24" s="16" t="s">
        <v>578</v>
      </c>
      <c r="C24" s="66" t="n">
        <f aca="false">-$C$15*$C$16+$C$23*$C$18</f>
        <v>-13500</v>
      </c>
    </row>
    <row r="25" customFormat="false" ht="15" hidden="false" customHeight="false" outlineLevel="0" collapsed="false">
      <c r="B25" s="31" t="s">
        <v>579</v>
      </c>
      <c r="C25" s="62" t="n">
        <f aca="false">-$C$24</f>
        <v>13500</v>
      </c>
    </row>
    <row r="26" customFormat="false" ht="15" hidden="false" customHeight="false" outlineLevel="0" collapsed="false">
      <c r="B26" s="16" t="s">
        <v>580</v>
      </c>
      <c r="C26" s="58" t="n">
        <f aca="false">-$C$15*$C$17+$C$23*$C$19</f>
        <v>0</v>
      </c>
    </row>
    <row r="27" customFormat="false" ht="15" hidden="false" customHeight="false" outlineLevel="0" collapsed="false">
      <c r="B27" s="16" t="s">
        <v>581</v>
      </c>
      <c r="C27" s="58" t="n">
        <f aca="false">$C$24+$C$25</f>
        <v>0</v>
      </c>
    </row>
    <row r="29" customFormat="false" ht="15" hidden="false" customHeight="false" outlineLevel="0" collapsed="false">
      <c r="B29" s="43" t="s">
        <v>249</v>
      </c>
      <c r="C29" s="44"/>
      <c r="D29" s="44"/>
      <c r="E29" s="44"/>
      <c r="F29" s="44"/>
      <c r="G29" s="44"/>
      <c r="H29" s="44"/>
      <c r="I29" s="44"/>
    </row>
    <row r="30" customFormat="false" ht="30" hidden="false" customHeight="true" outlineLevel="0" collapsed="false">
      <c r="B30" s="47" t="s">
        <v>582</v>
      </c>
      <c r="C30" s="47"/>
      <c r="D30" s="47"/>
      <c r="E30" s="47"/>
      <c r="F30" s="47"/>
      <c r="G30" s="47"/>
      <c r="H30" s="47"/>
      <c r="I30" s="47"/>
    </row>
    <row r="31" customFormat="false" ht="16.5" hidden="false" customHeight="true" outlineLevel="0" collapsed="false">
      <c r="B31" s="48" t="s">
        <v>583</v>
      </c>
      <c r="C31" s="48"/>
      <c r="D31" s="48"/>
      <c r="E31" s="48"/>
      <c r="F31" s="48"/>
      <c r="G31" s="48"/>
      <c r="H31" s="48"/>
      <c r="I31" s="48"/>
    </row>
  </sheetData>
  <mergeCells count="7">
    <mergeCell ref="B5:I5"/>
    <mergeCell ref="B8:I8"/>
    <mergeCell ref="B9:I9"/>
    <mergeCell ref="B10:I10"/>
    <mergeCell ref="B11:I11"/>
    <mergeCell ref="B30:I30"/>
    <mergeCell ref="B31:I31"/>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25" t="s">
        <v>584</v>
      </c>
      <c r="I1" s="26" t="s">
        <v>164</v>
      </c>
    </row>
    <row r="2" customFormat="false" ht="15" hidden="false" customHeight="false" outlineLevel="0" collapsed="false">
      <c r="B2" s="38" t="s">
        <v>585</v>
      </c>
    </row>
    <row r="4" customFormat="false" ht="15" hidden="false" customHeight="false" outlineLevel="0" collapsed="false">
      <c r="B4" s="27" t="s">
        <v>225</v>
      </c>
      <c r="C4" s="28"/>
      <c r="D4" s="28"/>
      <c r="E4" s="28"/>
      <c r="F4" s="28"/>
      <c r="G4" s="28"/>
      <c r="H4" s="28"/>
      <c r="I4" s="28"/>
    </row>
    <row r="5" customFormat="false" ht="43.5" hidden="false" customHeight="true" outlineLevel="0" collapsed="false">
      <c r="B5" s="29" t="s">
        <v>586</v>
      </c>
      <c r="C5" s="29"/>
      <c r="D5" s="29"/>
      <c r="E5" s="29"/>
      <c r="F5" s="29"/>
      <c r="G5" s="29"/>
      <c r="H5" s="29"/>
      <c r="I5" s="29"/>
    </row>
    <row r="7" customFormat="false" ht="15" hidden="false" customHeight="false" outlineLevel="0" collapsed="false">
      <c r="B7" s="27" t="s">
        <v>227</v>
      </c>
      <c r="C7" s="28"/>
      <c r="D7" s="28"/>
      <c r="E7" s="28"/>
      <c r="F7" s="28"/>
      <c r="G7" s="28"/>
      <c r="H7" s="28"/>
      <c r="I7" s="28"/>
    </row>
    <row r="8" customFormat="false" ht="16.5" hidden="false" customHeight="true" outlineLevel="0" collapsed="false">
      <c r="B8" s="29" t="s">
        <v>587</v>
      </c>
      <c r="C8" s="29"/>
      <c r="D8" s="29"/>
      <c r="E8" s="29"/>
      <c r="F8" s="29"/>
      <c r="G8" s="29"/>
      <c r="H8" s="29"/>
      <c r="I8" s="29"/>
    </row>
    <row r="9" customFormat="false" ht="16.5" hidden="false" customHeight="true" outlineLevel="0" collapsed="false">
      <c r="B9" s="29" t="s">
        <v>588</v>
      </c>
      <c r="C9" s="29"/>
      <c r="D9" s="29"/>
      <c r="E9" s="29"/>
      <c r="F9" s="29"/>
      <c r="G9" s="29"/>
      <c r="H9" s="29"/>
      <c r="I9" s="29"/>
    </row>
    <row r="10" customFormat="false" ht="16.5" hidden="false" customHeight="true" outlineLevel="0" collapsed="false">
      <c r="B10" s="29" t="s">
        <v>589</v>
      </c>
      <c r="C10" s="29"/>
      <c r="D10" s="29"/>
      <c r="E10" s="29"/>
      <c r="F10" s="29"/>
      <c r="G10" s="29"/>
      <c r="H10" s="29"/>
      <c r="I10" s="29"/>
    </row>
    <row r="11" customFormat="false" ht="16.5" hidden="false" customHeight="true" outlineLevel="0" collapsed="false">
      <c r="B11" s="29" t="s">
        <v>590</v>
      </c>
      <c r="C11" s="29"/>
      <c r="D11" s="29"/>
      <c r="E11" s="29"/>
      <c r="F11" s="29"/>
      <c r="G11" s="29"/>
      <c r="H11" s="29"/>
      <c r="I11" s="29"/>
    </row>
    <row r="13" customFormat="false" ht="15" hidden="false" customHeight="false" outlineLevel="0" collapsed="false">
      <c r="B13" s="27" t="s">
        <v>232</v>
      </c>
      <c r="C13" s="28"/>
      <c r="D13" s="28"/>
      <c r="E13" s="28"/>
      <c r="F13" s="28"/>
      <c r="G13" s="28"/>
      <c r="H13" s="28"/>
      <c r="I13" s="28"/>
    </row>
    <row r="14" customFormat="false" ht="15" hidden="false" customHeight="false" outlineLevel="0" collapsed="false">
      <c r="B14" s="12" t="s">
        <v>233</v>
      </c>
      <c r="C14" s="30" t="s">
        <v>18</v>
      </c>
    </row>
    <row r="15" customFormat="false" ht="15" hidden="false" customHeight="false" outlineLevel="0" collapsed="false">
      <c r="B15" s="16" t="s">
        <v>591</v>
      </c>
      <c r="C15" s="42" t="n">
        <v>10000</v>
      </c>
    </row>
    <row r="16" customFormat="false" ht="15" hidden="false" customHeight="false" outlineLevel="0" collapsed="false">
      <c r="B16" s="16" t="s">
        <v>592</v>
      </c>
      <c r="C16" s="39" t="n">
        <v>4.5</v>
      </c>
    </row>
    <row r="17" customFormat="false" ht="15" hidden="false" customHeight="false" outlineLevel="0" collapsed="false">
      <c r="B17" s="16" t="s">
        <v>593</v>
      </c>
      <c r="C17" s="42" t="n">
        <v>9200</v>
      </c>
    </row>
    <row r="18" customFormat="false" ht="15" hidden="false" customHeight="false" outlineLevel="0" collapsed="false">
      <c r="B18" s="16" t="s">
        <v>594</v>
      </c>
      <c r="C18" s="39" t="n">
        <v>1.2</v>
      </c>
    </row>
    <row r="19" customFormat="false" ht="15" hidden="false" customHeight="false" outlineLevel="0" collapsed="false">
      <c r="B19" s="16" t="s">
        <v>595</v>
      </c>
      <c r="C19" s="40" t="n">
        <v>0.07</v>
      </c>
    </row>
    <row r="20" customFormat="false" ht="15" hidden="false" customHeight="false" outlineLevel="0" collapsed="false">
      <c r="B20" s="16" t="s">
        <v>596</v>
      </c>
      <c r="C20" s="40" t="n">
        <v>0.02</v>
      </c>
    </row>
    <row r="22" customFormat="false" ht="15" hidden="false" customHeight="false" outlineLevel="0" collapsed="false">
      <c r="B22" s="43" t="s">
        <v>243</v>
      </c>
      <c r="C22" s="44"/>
      <c r="D22" s="44"/>
      <c r="E22" s="44"/>
      <c r="F22" s="44"/>
      <c r="G22" s="44"/>
      <c r="H22" s="44"/>
      <c r="I22" s="44"/>
    </row>
    <row r="23" customFormat="false" ht="15" hidden="false" customHeight="false" outlineLevel="0" collapsed="false">
      <c r="B23" s="16" t="s">
        <v>597</v>
      </c>
      <c r="C23" s="66" t="n">
        <f aca="false">$C$15-$C$17</f>
        <v>800</v>
      </c>
    </row>
    <row r="24" customFormat="false" ht="15" hidden="false" customHeight="false" outlineLevel="0" collapsed="false">
      <c r="B24" s="31" t="s">
        <v>598</v>
      </c>
      <c r="C24" s="59" t="n">
        <f aca="false">$C$16-$C$17/$C$15*$C$18</f>
        <v>3.396</v>
      </c>
    </row>
    <row r="25" customFormat="false" ht="15" hidden="false" customHeight="false" outlineLevel="0" collapsed="false">
      <c r="B25" s="31" t="s">
        <v>599</v>
      </c>
      <c r="C25" s="63" t="n">
        <f aca="false">-$C$24*$C$15*$C$20/(1+$C$19)</f>
        <v>-634.766355140187</v>
      </c>
    </row>
    <row r="26" customFormat="false" ht="15" hidden="false" customHeight="false" outlineLevel="0" collapsed="false">
      <c r="B26" s="16" t="s">
        <v>600</v>
      </c>
      <c r="C26" s="67" t="n">
        <f aca="false">$C$25/$C$23</f>
        <v>-0.793457943925234</v>
      </c>
    </row>
    <row r="27" customFormat="false" ht="15" hidden="false" customHeight="false" outlineLevel="0" collapsed="false">
      <c r="B27" s="16" t="s">
        <v>601</v>
      </c>
      <c r="C27" s="58" t="n">
        <f aca="false">$C$17/$C$15*$C$18</f>
        <v>1.104</v>
      </c>
    </row>
    <row r="29" customFormat="false" ht="15" hidden="false" customHeight="false" outlineLevel="0" collapsed="false">
      <c r="B29" s="43" t="s">
        <v>249</v>
      </c>
      <c r="C29" s="44"/>
      <c r="D29" s="44"/>
      <c r="E29" s="44"/>
      <c r="F29" s="44"/>
      <c r="G29" s="44"/>
      <c r="H29" s="44"/>
      <c r="I29" s="44"/>
    </row>
    <row r="30" customFormat="false" ht="30" hidden="false" customHeight="true" outlineLevel="0" collapsed="false">
      <c r="B30" s="47" t="s">
        <v>602</v>
      </c>
      <c r="C30" s="47"/>
      <c r="D30" s="47"/>
      <c r="E30" s="47"/>
      <c r="F30" s="47"/>
      <c r="G30" s="47"/>
      <c r="H30" s="47"/>
      <c r="I30" s="47"/>
    </row>
    <row r="31" customFormat="false" ht="16.5" hidden="false" customHeight="true" outlineLevel="0" collapsed="false">
      <c r="B31" s="47" t="s">
        <v>603</v>
      </c>
      <c r="C31" s="47"/>
      <c r="D31" s="47"/>
      <c r="E31" s="47"/>
      <c r="F31" s="47"/>
      <c r="G31" s="47"/>
      <c r="H31" s="47"/>
      <c r="I31" s="47"/>
    </row>
    <row r="32" customFormat="false" ht="16.5" hidden="false" customHeight="true" outlineLevel="0" collapsed="false">
      <c r="B32" s="47" t="s">
        <v>604</v>
      </c>
      <c r="C32" s="47"/>
      <c r="D32" s="47"/>
      <c r="E32" s="47"/>
      <c r="F32" s="47"/>
      <c r="G32" s="47"/>
      <c r="H32" s="47"/>
      <c r="I32" s="47"/>
    </row>
    <row r="33" customFormat="false" ht="16.5" hidden="false" customHeight="true" outlineLevel="0" collapsed="false">
      <c r="B33" s="48" t="s">
        <v>605</v>
      </c>
      <c r="C33" s="48"/>
      <c r="D33" s="48"/>
      <c r="E33" s="48"/>
      <c r="F33" s="48"/>
      <c r="G33" s="48"/>
      <c r="H33" s="48"/>
      <c r="I33" s="48"/>
    </row>
  </sheetData>
  <mergeCells count="9">
    <mergeCell ref="B5:I5"/>
    <mergeCell ref="B8:I8"/>
    <mergeCell ref="B9:I9"/>
    <mergeCell ref="B10:I10"/>
    <mergeCell ref="B11:I11"/>
    <mergeCell ref="B30:I30"/>
    <mergeCell ref="B31:I31"/>
    <mergeCell ref="B32:I32"/>
    <mergeCell ref="B33:I33"/>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25" t="s">
        <v>606</v>
      </c>
      <c r="I1" s="26" t="s">
        <v>164</v>
      </c>
    </row>
    <row r="2" customFormat="false" ht="15" hidden="false" customHeight="false" outlineLevel="0" collapsed="false">
      <c r="B2" s="38" t="s">
        <v>607</v>
      </c>
    </row>
    <row r="4" customFormat="false" ht="15" hidden="false" customHeight="false" outlineLevel="0" collapsed="false">
      <c r="B4" s="27" t="s">
        <v>225</v>
      </c>
      <c r="C4" s="28"/>
      <c r="D4" s="28"/>
      <c r="E4" s="28"/>
      <c r="F4" s="28"/>
      <c r="G4" s="28"/>
      <c r="H4" s="28"/>
      <c r="I4" s="28"/>
    </row>
    <row r="5" customFormat="false" ht="30" hidden="false" customHeight="true" outlineLevel="0" collapsed="false">
      <c r="B5" s="29" t="s">
        <v>608</v>
      </c>
      <c r="C5" s="29"/>
      <c r="D5" s="29"/>
      <c r="E5" s="29"/>
      <c r="F5" s="29"/>
      <c r="G5" s="29"/>
      <c r="H5" s="29"/>
      <c r="I5" s="29"/>
    </row>
    <row r="7" customFormat="false" ht="15" hidden="false" customHeight="false" outlineLevel="0" collapsed="false">
      <c r="B7" s="27" t="s">
        <v>227</v>
      </c>
      <c r="C7" s="28"/>
      <c r="D7" s="28"/>
      <c r="E7" s="28"/>
      <c r="F7" s="28"/>
      <c r="G7" s="28"/>
      <c r="H7" s="28"/>
      <c r="I7" s="28"/>
    </row>
    <row r="8" customFormat="false" ht="16.5" hidden="false" customHeight="true" outlineLevel="0" collapsed="false">
      <c r="B8" s="29" t="s">
        <v>609</v>
      </c>
      <c r="C8" s="29"/>
      <c r="D8" s="29"/>
      <c r="E8" s="29"/>
      <c r="F8" s="29"/>
      <c r="G8" s="29"/>
      <c r="H8" s="29"/>
      <c r="I8" s="29"/>
    </row>
    <row r="9" customFormat="false" ht="16.5" hidden="false" customHeight="true" outlineLevel="0" collapsed="false">
      <c r="B9" s="29" t="s">
        <v>610</v>
      </c>
      <c r="C9" s="29"/>
      <c r="D9" s="29"/>
      <c r="E9" s="29"/>
      <c r="F9" s="29"/>
      <c r="G9" s="29"/>
      <c r="H9" s="29"/>
      <c r="I9" s="29"/>
    </row>
    <row r="10" customFormat="false" ht="16.5" hidden="false" customHeight="true" outlineLevel="0" collapsed="false">
      <c r="B10" s="29" t="s">
        <v>611</v>
      </c>
      <c r="C10" s="29"/>
      <c r="D10" s="29"/>
      <c r="E10" s="29"/>
      <c r="F10" s="29"/>
      <c r="G10" s="29"/>
      <c r="H10" s="29"/>
      <c r="I10" s="29"/>
    </row>
    <row r="11" customFormat="false" ht="16.5" hidden="false" customHeight="true" outlineLevel="0" collapsed="false">
      <c r="B11" s="29" t="s">
        <v>612</v>
      </c>
      <c r="C11" s="29"/>
      <c r="D11" s="29"/>
      <c r="E11" s="29"/>
      <c r="F11" s="29"/>
      <c r="G11" s="29"/>
      <c r="H11" s="29"/>
      <c r="I11" s="29"/>
    </row>
    <row r="13" customFormat="false" ht="15" hidden="false" customHeight="false" outlineLevel="0" collapsed="false">
      <c r="B13" s="27" t="s">
        <v>232</v>
      </c>
      <c r="C13" s="28"/>
      <c r="D13" s="28"/>
      <c r="E13" s="28"/>
      <c r="F13" s="28"/>
      <c r="G13" s="28"/>
      <c r="H13" s="28"/>
      <c r="I13" s="28"/>
    </row>
    <row r="14" customFormat="false" ht="15" hidden="false" customHeight="false" outlineLevel="0" collapsed="false">
      <c r="B14" s="12" t="s">
        <v>233</v>
      </c>
      <c r="C14" s="30" t="s">
        <v>18</v>
      </c>
    </row>
    <row r="15" customFormat="false" ht="15" hidden="false" customHeight="false" outlineLevel="0" collapsed="false">
      <c r="B15" s="16" t="s">
        <v>613</v>
      </c>
      <c r="C15" s="39" t="n">
        <v>100.8</v>
      </c>
    </row>
    <row r="16" customFormat="false" ht="15" hidden="false" customHeight="false" outlineLevel="0" collapsed="false">
      <c r="B16" s="16" t="s">
        <v>614</v>
      </c>
      <c r="C16" s="39" t="n">
        <v>102.1</v>
      </c>
    </row>
    <row r="17" customFormat="false" ht="15" hidden="false" customHeight="false" outlineLevel="0" collapsed="false">
      <c r="B17" s="16" t="s">
        <v>615</v>
      </c>
      <c r="C17" s="39" t="n">
        <v>99.3</v>
      </c>
    </row>
    <row r="18" customFormat="false" ht="15" hidden="false" customHeight="false" outlineLevel="0" collapsed="false">
      <c r="B18" s="16" t="s">
        <v>616</v>
      </c>
      <c r="C18" s="40" t="n">
        <v>0.005</v>
      </c>
    </row>
    <row r="19" customFormat="false" ht="15" hidden="false" customHeight="false" outlineLevel="0" collapsed="false">
      <c r="B19" s="16" t="s">
        <v>617</v>
      </c>
      <c r="C19" s="40" t="n">
        <v>0.01</v>
      </c>
    </row>
    <row r="21" customFormat="false" ht="15" hidden="false" customHeight="false" outlineLevel="0" collapsed="false">
      <c r="B21" s="43" t="s">
        <v>243</v>
      </c>
      <c r="C21" s="44"/>
      <c r="D21" s="44"/>
      <c r="E21" s="44"/>
      <c r="F21" s="44"/>
      <c r="G21" s="44"/>
      <c r="H21" s="44"/>
      <c r="I21" s="44"/>
    </row>
    <row r="22" customFormat="false" ht="15" hidden="false" customHeight="false" outlineLevel="0" collapsed="false">
      <c r="B22" s="31" t="s">
        <v>87</v>
      </c>
      <c r="C22" s="59" t="n">
        <f aca="false">($C$16-$C$17)/(2*$C$15*$C$18)</f>
        <v>2.77777777777778</v>
      </c>
    </row>
    <row r="23" customFormat="false" ht="15" hidden="false" customHeight="false" outlineLevel="0" collapsed="false">
      <c r="B23" s="31" t="s">
        <v>618</v>
      </c>
      <c r="C23" s="63" t="n">
        <f aca="false">($C$16+$C$17-2*$C$15)/($C$15*$C$18^2)</f>
        <v>-79.3650793650861</v>
      </c>
    </row>
    <row r="24" customFormat="false" ht="15" hidden="false" customHeight="false" outlineLevel="0" collapsed="false">
      <c r="B24" s="16" t="s">
        <v>619</v>
      </c>
      <c r="C24" s="46" t="n">
        <f aca="false">-$C$22*$C$19+0.5*$C$23*$C$19^2</f>
        <v>-0.0317460317460321</v>
      </c>
    </row>
    <row r="25" customFormat="false" ht="15" hidden="false" customHeight="false" outlineLevel="0" collapsed="false">
      <c r="B25" s="16" t="s">
        <v>620</v>
      </c>
      <c r="C25" s="56" t="str">
        <f aca="false">IF($C$23&lt;0,"Negative convexity","Positive convexity")</f>
        <v>Negative convexity</v>
      </c>
    </row>
    <row r="27" customFormat="false" ht="15" hidden="false" customHeight="false" outlineLevel="0" collapsed="false">
      <c r="B27" s="43" t="s">
        <v>249</v>
      </c>
      <c r="C27" s="44"/>
      <c r="D27" s="44"/>
      <c r="E27" s="44"/>
      <c r="F27" s="44"/>
      <c r="G27" s="44"/>
      <c r="H27" s="44"/>
      <c r="I27" s="44"/>
    </row>
    <row r="28" customFormat="false" ht="43.5" hidden="false" customHeight="true" outlineLevel="0" collapsed="false">
      <c r="B28" s="47" t="s">
        <v>621</v>
      </c>
      <c r="C28" s="47"/>
      <c r="D28" s="47"/>
      <c r="E28" s="47"/>
      <c r="F28" s="47"/>
      <c r="G28" s="47"/>
      <c r="H28" s="47"/>
      <c r="I28" s="47"/>
    </row>
    <row r="29" customFormat="false" ht="16.5" hidden="false" customHeight="true" outlineLevel="0" collapsed="false">
      <c r="B29" s="48" t="s">
        <v>622</v>
      </c>
      <c r="C29" s="48"/>
      <c r="D29" s="48"/>
      <c r="E29" s="48"/>
      <c r="F29" s="48"/>
      <c r="G29" s="48"/>
      <c r="H29" s="48"/>
      <c r="I29" s="48"/>
    </row>
  </sheetData>
  <mergeCells count="7">
    <mergeCell ref="B5:I5"/>
    <mergeCell ref="B8:I8"/>
    <mergeCell ref="B9:I9"/>
    <mergeCell ref="B10:I10"/>
    <mergeCell ref="B11:I11"/>
    <mergeCell ref="B28:I28"/>
    <mergeCell ref="B29:I29"/>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7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25" t="s">
        <v>623</v>
      </c>
      <c r="I1" s="26" t="s">
        <v>164</v>
      </c>
    </row>
    <row r="3" customFormat="false" ht="15" hidden="false" customHeight="false" outlineLevel="0" collapsed="false">
      <c r="B3" s="27" t="s">
        <v>165</v>
      </c>
      <c r="C3" s="28"/>
      <c r="D3" s="28"/>
      <c r="E3" s="28"/>
      <c r="F3" s="28"/>
      <c r="G3" s="28"/>
      <c r="H3" s="28"/>
      <c r="I3" s="28"/>
    </row>
    <row r="4" customFormat="false" ht="43.5" hidden="false" customHeight="true" outlineLevel="0" collapsed="false">
      <c r="B4" s="29" t="s">
        <v>624</v>
      </c>
      <c r="C4" s="29"/>
      <c r="D4" s="29"/>
      <c r="E4" s="29"/>
      <c r="F4" s="29"/>
      <c r="G4" s="29"/>
      <c r="H4" s="29"/>
      <c r="I4" s="29"/>
    </row>
    <row r="6" customFormat="false" ht="15" hidden="false" customHeight="false" outlineLevel="0" collapsed="false">
      <c r="B6" s="27" t="s">
        <v>167</v>
      </c>
      <c r="C6" s="28"/>
      <c r="D6" s="28"/>
      <c r="E6" s="28"/>
      <c r="F6" s="28"/>
      <c r="G6" s="28"/>
      <c r="H6" s="28"/>
      <c r="I6" s="28"/>
    </row>
    <row r="7" customFormat="false" ht="30" hidden="false" customHeight="true" outlineLevel="0" collapsed="false">
      <c r="B7" s="29" t="s">
        <v>625</v>
      </c>
      <c r="C7" s="29"/>
      <c r="D7" s="29"/>
      <c r="E7" s="29"/>
      <c r="F7" s="29"/>
      <c r="G7" s="29"/>
      <c r="H7" s="29"/>
      <c r="I7" s="29"/>
    </row>
    <row r="8" customFormat="false" ht="16.5" hidden="false" customHeight="true" outlineLevel="0" collapsed="false">
      <c r="B8" s="29" t="s">
        <v>626</v>
      </c>
      <c r="C8" s="29"/>
      <c r="D8" s="29"/>
      <c r="E8" s="29"/>
      <c r="F8" s="29"/>
      <c r="G8" s="29"/>
      <c r="H8" s="29"/>
      <c r="I8" s="29"/>
    </row>
    <row r="9" customFormat="false" ht="16.5" hidden="false" customHeight="true" outlineLevel="0" collapsed="false">
      <c r="B9" s="29" t="s">
        <v>627</v>
      </c>
      <c r="C9" s="29"/>
      <c r="D9" s="29"/>
      <c r="E9" s="29"/>
      <c r="F9" s="29"/>
      <c r="G9" s="29"/>
      <c r="H9" s="29"/>
      <c r="I9" s="29"/>
    </row>
    <row r="10" customFormat="false" ht="16.5" hidden="false" customHeight="true" outlineLevel="0" collapsed="false">
      <c r="B10" s="29" t="s">
        <v>628</v>
      </c>
      <c r="C10" s="29"/>
      <c r="D10" s="29"/>
      <c r="E10" s="29"/>
      <c r="F10" s="29"/>
      <c r="G10" s="29"/>
      <c r="H10" s="29"/>
      <c r="I10" s="29"/>
    </row>
    <row r="12" customFormat="false" ht="15" hidden="false" customHeight="false" outlineLevel="0" collapsed="false">
      <c r="B12" s="27" t="s">
        <v>172</v>
      </c>
      <c r="C12" s="28"/>
      <c r="D12" s="28"/>
      <c r="E12" s="28"/>
      <c r="F12" s="28"/>
      <c r="G12" s="28"/>
      <c r="H12" s="28"/>
      <c r="I12" s="28"/>
    </row>
    <row r="13" customFormat="false" ht="30" hidden="false" customHeight="true" outlineLevel="0" collapsed="false">
      <c r="B13" s="29" t="s">
        <v>629</v>
      </c>
      <c r="C13" s="29"/>
      <c r="D13" s="29"/>
      <c r="E13" s="29"/>
      <c r="F13" s="29"/>
      <c r="G13" s="29"/>
      <c r="H13" s="29"/>
      <c r="I13" s="29"/>
    </row>
    <row r="14" customFormat="false" ht="16.5" hidden="false" customHeight="true" outlineLevel="0" collapsed="false">
      <c r="B14" s="29" t="s">
        <v>630</v>
      </c>
      <c r="C14" s="29"/>
      <c r="D14" s="29"/>
      <c r="E14" s="29"/>
      <c r="F14" s="29"/>
      <c r="G14" s="29"/>
      <c r="H14" s="29"/>
      <c r="I14" s="29"/>
    </row>
    <row r="15" customFormat="false" ht="16.5" hidden="false" customHeight="true" outlineLevel="0" collapsed="false">
      <c r="B15" s="29" t="s">
        <v>631</v>
      </c>
      <c r="C15" s="29"/>
      <c r="D15" s="29"/>
      <c r="E15" s="29"/>
      <c r="F15" s="29"/>
      <c r="G15" s="29"/>
      <c r="H15" s="29"/>
      <c r="I15" s="29"/>
    </row>
    <row r="16" customFormat="false" ht="16.5" hidden="false" customHeight="true" outlineLevel="0" collapsed="false">
      <c r="B16" s="29" t="s">
        <v>632</v>
      </c>
      <c r="C16" s="29"/>
      <c r="D16" s="29"/>
      <c r="E16" s="29"/>
      <c r="F16" s="29"/>
      <c r="G16" s="29"/>
      <c r="H16" s="29"/>
      <c r="I16" s="29"/>
    </row>
    <row r="18" customFormat="false" ht="15" hidden="false" customHeight="false" outlineLevel="0" collapsed="false">
      <c r="B18" s="27" t="s">
        <v>177</v>
      </c>
      <c r="C18" s="28"/>
      <c r="D18" s="28"/>
      <c r="E18" s="28"/>
      <c r="F18" s="28"/>
      <c r="G18" s="28"/>
      <c r="H18" s="28"/>
      <c r="I18" s="28"/>
    </row>
    <row r="19" customFormat="false" ht="15" hidden="false" customHeight="false" outlineLevel="0" collapsed="false">
      <c r="B19" s="12" t="s">
        <v>178</v>
      </c>
      <c r="C19" s="30" t="s">
        <v>179</v>
      </c>
    </row>
    <row r="20" customFormat="false" ht="15" hidden="false" customHeight="false" outlineLevel="0" collapsed="false">
      <c r="B20" s="31" t="s">
        <v>94</v>
      </c>
      <c r="C20" s="32" t="s">
        <v>633</v>
      </c>
      <c r="D20" s="32"/>
      <c r="E20" s="32"/>
      <c r="F20" s="32"/>
      <c r="G20" s="32"/>
      <c r="H20" s="32"/>
      <c r="I20" s="32"/>
    </row>
    <row r="21" customFormat="false" ht="15" hidden="false" customHeight="false" outlineLevel="0" collapsed="false">
      <c r="B21" s="31" t="s">
        <v>634</v>
      </c>
      <c r="C21" s="32" t="s">
        <v>635</v>
      </c>
      <c r="D21" s="32"/>
      <c r="E21" s="32"/>
      <c r="F21" s="32"/>
      <c r="G21" s="32"/>
      <c r="H21" s="32"/>
      <c r="I21" s="32"/>
    </row>
    <row r="22" customFormat="false" ht="15" hidden="false" customHeight="false" outlineLevel="0" collapsed="false">
      <c r="B22" s="31" t="s">
        <v>636</v>
      </c>
      <c r="C22" s="32" t="s">
        <v>637</v>
      </c>
      <c r="D22" s="32"/>
      <c r="E22" s="32"/>
      <c r="F22" s="32"/>
      <c r="G22" s="32"/>
      <c r="H22" s="32"/>
      <c r="I22" s="32"/>
    </row>
    <row r="23" customFormat="false" ht="15" hidden="false" customHeight="false" outlineLevel="0" collapsed="false">
      <c r="B23" s="31" t="s">
        <v>638</v>
      </c>
      <c r="C23" s="32" t="s">
        <v>639</v>
      </c>
      <c r="D23" s="32"/>
      <c r="E23" s="32"/>
      <c r="F23" s="32"/>
      <c r="G23" s="32"/>
      <c r="H23" s="32"/>
      <c r="I23" s="32"/>
    </row>
    <row r="24" customFormat="false" ht="15" hidden="false" customHeight="false" outlineLevel="0" collapsed="false">
      <c r="B24" s="31" t="s">
        <v>640</v>
      </c>
      <c r="C24" s="32" t="s">
        <v>641</v>
      </c>
      <c r="D24" s="32"/>
      <c r="E24" s="32"/>
      <c r="F24" s="32"/>
      <c r="G24" s="32"/>
      <c r="H24" s="32"/>
      <c r="I24" s="32"/>
    </row>
    <row r="25" customFormat="false" ht="15" hidden="false" customHeight="false" outlineLevel="0" collapsed="false">
      <c r="B25" s="31" t="s">
        <v>642</v>
      </c>
      <c r="C25" s="32" t="s">
        <v>643</v>
      </c>
      <c r="D25" s="32"/>
      <c r="E25" s="32"/>
      <c r="F25" s="32"/>
      <c r="G25" s="32"/>
      <c r="H25" s="32"/>
      <c r="I25" s="32"/>
    </row>
    <row r="27" customFormat="false" ht="15" hidden="false" customHeight="false" outlineLevel="0" collapsed="false">
      <c r="B27" s="27" t="s">
        <v>194</v>
      </c>
      <c r="C27" s="28"/>
      <c r="D27" s="28"/>
      <c r="E27" s="28"/>
      <c r="F27" s="28"/>
      <c r="G27" s="28"/>
      <c r="H27" s="28"/>
      <c r="I27" s="28"/>
    </row>
    <row r="45" customFormat="false" ht="30" hidden="false" customHeight="true" outlineLevel="0" collapsed="false">
      <c r="B45" s="33" t="s">
        <v>644</v>
      </c>
      <c r="C45" s="33"/>
      <c r="D45" s="33"/>
      <c r="E45" s="33"/>
      <c r="F45" s="33"/>
      <c r="G45" s="33"/>
      <c r="H45" s="33"/>
      <c r="I45" s="33"/>
    </row>
    <row r="47" customFormat="false" ht="15" hidden="false" customHeight="false" outlineLevel="0" collapsed="false">
      <c r="B47" s="27" t="s">
        <v>197</v>
      </c>
      <c r="C47" s="28"/>
      <c r="D47" s="28"/>
      <c r="E47" s="28"/>
      <c r="F47" s="28"/>
      <c r="G47" s="28"/>
      <c r="H47" s="28"/>
      <c r="I47" s="28"/>
    </row>
    <row r="48" customFormat="false" ht="16.5" hidden="false" customHeight="true" outlineLevel="0" collapsed="false">
      <c r="B48" s="34" t="s">
        <v>645</v>
      </c>
      <c r="C48" s="34"/>
      <c r="D48" s="34"/>
      <c r="E48" s="34"/>
      <c r="F48" s="34"/>
      <c r="G48" s="34"/>
      <c r="H48" s="34"/>
      <c r="I48" s="34"/>
    </row>
    <row r="49" customFormat="false" ht="30" hidden="false" customHeight="true" outlineLevel="0" collapsed="false">
      <c r="B49" s="35" t="s">
        <v>646</v>
      </c>
      <c r="C49" s="35"/>
      <c r="D49" s="35"/>
      <c r="E49" s="35"/>
      <c r="F49" s="35"/>
      <c r="G49" s="35"/>
      <c r="H49" s="35"/>
      <c r="I49" s="35"/>
    </row>
    <row r="50" customFormat="false" ht="16.5" hidden="false" customHeight="true" outlineLevel="0" collapsed="false">
      <c r="B50" s="34" t="s">
        <v>647</v>
      </c>
      <c r="C50" s="34"/>
      <c r="D50" s="34"/>
      <c r="E50" s="34"/>
      <c r="F50" s="34"/>
      <c r="G50" s="34"/>
      <c r="H50" s="34"/>
      <c r="I50" s="34"/>
    </row>
    <row r="51" customFormat="false" ht="43.5" hidden="false" customHeight="true" outlineLevel="0" collapsed="false">
      <c r="B51" s="35" t="s">
        <v>648</v>
      </c>
      <c r="C51" s="35"/>
      <c r="D51" s="35"/>
      <c r="E51" s="35"/>
      <c r="F51" s="35"/>
      <c r="G51" s="35"/>
      <c r="H51" s="35"/>
      <c r="I51" s="35"/>
    </row>
    <row r="52" customFormat="false" ht="16.5" hidden="false" customHeight="true" outlineLevel="0" collapsed="false">
      <c r="B52" s="34" t="s">
        <v>649</v>
      </c>
      <c r="C52" s="34"/>
      <c r="D52" s="34"/>
      <c r="E52" s="34"/>
      <c r="F52" s="34"/>
      <c r="G52" s="34"/>
      <c r="H52" s="34"/>
      <c r="I52" s="34"/>
    </row>
    <row r="53" customFormat="false" ht="43.5" hidden="false" customHeight="true" outlineLevel="0" collapsed="false">
      <c r="B53" s="35" t="s">
        <v>650</v>
      </c>
      <c r="C53" s="35"/>
      <c r="D53" s="35"/>
      <c r="E53" s="35"/>
      <c r="F53" s="35"/>
      <c r="G53" s="35"/>
      <c r="H53" s="35"/>
      <c r="I53" s="35"/>
    </row>
    <row r="54" customFormat="false" ht="16.5" hidden="false" customHeight="true" outlineLevel="0" collapsed="false">
      <c r="B54" s="34" t="s">
        <v>651</v>
      </c>
      <c r="C54" s="34"/>
      <c r="D54" s="34"/>
      <c r="E54" s="34"/>
      <c r="F54" s="34"/>
      <c r="G54" s="34"/>
      <c r="H54" s="34"/>
      <c r="I54" s="34"/>
    </row>
    <row r="55" customFormat="false" ht="43.5" hidden="false" customHeight="true" outlineLevel="0" collapsed="false">
      <c r="B55" s="35" t="s">
        <v>652</v>
      </c>
      <c r="C55" s="35"/>
      <c r="D55" s="35"/>
      <c r="E55" s="35"/>
      <c r="F55" s="35"/>
      <c r="G55" s="35"/>
      <c r="H55" s="35"/>
      <c r="I55" s="35"/>
    </row>
    <row r="57" customFormat="false" ht="15" hidden="false" customHeight="false" outlineLevel="0" collapsed="false">
      <c r="B57" s="27" t="s">
        <v>206</v>
      </c>
      <c r="C57" s="28"/>
      <c r="D57" s="28"/>
      <c r="E57" s="28"/>
      <c r="F57" s="28"/>
      <c r="G57" s="28"/>
      <c r="H57" s="28"/>
      <c r="I57" s="28"/>
    </row>
    <row r="58" customFormat="false" ht="16.5" hidden="false" customHeight="true" outlineLevel="0" collapsed="false">
      <c r="B58" s="29" t="s">
        <v>653</v>
      </c>
      <c r="C58" s="29"/>
      <c r="D58" s="29"/>
      <c r="E58" s="29"/>
      <c r="F58" s="29"/>
      <c r="G58" s="29"/>
      <c r="H58" s="29"/>
      <c r="I58" s="29"/>
    </row>
    <row r="59" customFormat="false" ht="16.5" hidden="false" customHeight="true" outlineLevel="0" collapsed="false">
      <c r="B59" s="29" t="s">
        <v>654</v>
      </c>
      <c r="C59" s="29"/>
      <c r="D59" s="29"/>
      <c r="E59" s="29"/>
      <c r="F59" s="29"/>
      <c r="G59" s="29"/>
      <c r="H59" s="29"/>
      <c r="I59" s="29"/>
    </row>
    <row r="60" customFormat="false" ht="16.5" hidden="false" customHeight="true" outlineLevel="0" collapsed="false">
      <c r="B60" s="29" t="s">
        <v>655</v>
      </c>
      <c r="C60" s="29"/>
      <c r="D60" s="29"/>
      <c r="E60" s="29"/>
      <c r="F60" s="29"/>
      <c r="G60" s="29"/>
      <c r="H60" s="29"/>
      <c r="I60" s="29"/>
    </row>
    <row r="61" customFormat="false" ht="16.5" hidden="false" customHeight="true" outlineLevel="0" collapsed="false">
      <c r="B61" s="29" t="s">
        <v>656</v>
      </c>
      <c r="C61" s="29"/>
      <c r="D61" s="29"/>
      <c r="E61" s="29"/>
      <c r="F61" s="29"/>
      <c r="G61" s="29"/>
      <c r="H61" s="29"/>
      <c r="I61" s="29"/>
    </row>
    <row r="62" customFormat="false" ht="16.5" hidden="false" customHeight="true" outlineLevel="0" collapsed="false">
      <c r="B62" s="29" t="s">
        <v>657</v>
      </c>
      <c r="C62" s="29"/>
      <c r="D62" s="29"/>
      <c r="E62" s="29"/>
      <c r="F62" s="29"/>
      <c r="G62" s="29"/>
      <c r="H62" s="29"/>
      <c r="I62" s="29"/>
    </row>
    <row r="64" customFormat="false" ht="15" hidden="false" customHeight="false" outlineLevel="0" collapsed="false">
      <c r="B64" s="27" t="s">
        <v>212</v>
      </c>
      <c r="C64" s="28"/>
      <c r="D64" s="28"/>
      <c r="E64" s="28"/>
      <c r="F64" s="28"/>
      <c r="G64" s="28"/>
      <c r="H64" s="28"/>
      <c r="I64" s="28"/>
    </row>
    <row r="65" customFormat="false" ht="16.5" hidden="false" customHeight="true" outlineLevel="0" collapsed="false">
      <c r="B65" s="36" t="s">
        <v>658</v>
      </c>
      <c r="C65" s="36"/>
      <c r="D65" s="36"/>
      <c r="E65" s="36"/>
      <c r="F65" s="36"/>
      <c r="G65" s="36"/>
      <c r="H65" s="36"/>
      <c r="I65" s="36"/>
    </row>
    <row r="66" customFormat="false" ht="30" hidden="false" customHeight="true" outlineLevel="0" collapsed="false">
      <c r="B66" s="37" t="s">
        <v>659</v>
      </c>
      <c r="C66" s="37"/>
      <c r="D66" s="37"/>
      <c r="E66" s="37"/>
      <c r="F66" s="37"/>
      <c r="G66" s="37"/>
      <c r="H66" s="37"/>
      <c r="I66" s="37"/>
    </row>
    <row r="67" customFormat="false" ht="16.5" hidden="false" customHeight="true" outlineLevel="0" collapsed="false">
      <c r="B67" s="36" t="s">
        <v>660</v>
      </c>
      <c r="C67" s="36"/>
      <c r="D67" s="36"/>
      <c r="E67" s="36"/>
      <c r="F67" s="36"/>
      <c r="G67" s="36"/>
      <c r="H67" s="36"/>
      <c r="I67" s="36"/>
    </row>
    <row r="68" customFormat="false" ht="30" hidden="false" customHeight="true" outlineLevel="0" collapsed="false">
      <c r="B68" s="37" t="s">
        <v>661</v>
      </c>
      <c r="C68" s="37"/>
      <c r="D68" s="37"/>
      <c r="E68" s="37"/>
      <c r="F68" s="37"/>
      <c r="G68" s="37"/>
      <c r="H68" s="37"/>
      <c r="I68" s="37"/>
    </row>
    <row r="69" customFormat="false" ht="16.5" hidden="false" customHeight="true" outlineLevel="0" collapsed="false">
      <c r="B69" s="36" t="s">
        <v>662</v>
      </c>
      <c r="C69" s="36"/>
      <c r="D69" s="36"/>
      <c r="E69" s="36"/>
      <c r="F69" s="36"/>
      <c r="G69" s="36"/>
      <c r="H69" s="36"/>
      <c r="I69" s="36"/>
    </row>
    <row r="70" customFormat="false" ht="30" hidden="false" customHeight="true" outlineLevel="0" collapsed="false">
      <c r="B70" s="37" t="s">
        <v>663</v>
      </c>
      <c r="C70" s="37"/>
      <c r="D70" s="37"/>
      <c r="E70" s="37"/>
      <c r="F70" s="37"/>
      <c r="G70" s="37"/>
      <c r="H70" s="37"/>
      <c r="I70" s="37"/>
    </row>
    <row r="71" customFormat="false" ht="16.5" hidden="false" customHeight="true" outlineLevel="0" collapsed="false">
      <c r="B71" s="36" t="s">
        <v>664</v>
      </c>
      <c r="C71" s="36"/>
      <c r="D71" s="36"/>
      <c r="E71" s="36"/>
      <c r="F71" s="36"/>
      <c r="G71" s="36"/>
      <c r="H71" s="36"/>
      <c r="I71" s="36"/>
    </row>
    <row r="72" customFormat="false" ht="30" hidden="false" customHeight="true" outlineLevel="0" collapsed="false">
      <c r="B72" s="37" t="s">
        <v>665</v>
      </c>
      <c r="C72" s="37"/>
      <c r="D72" s="37"/>
      <c r="E72" s="37"/>
      <c r="F72" s="37"/>
      <c r="G72" s="37"/>
      <c r="H72" s="37"/>
      <c r="I72" s="37"/>
    </row>
    <row r="73" customFormat="false" ht="16.5" hidden="false" customHeight="true" outlineLevel="0" collapsed="false">
      <c r="B73" s="36" t="s">
        <v>666</v>
      </c>
      <c r="C73" s="36"/>
      <c r="D73" s="36"/>
      <c r="E73" s="36"/>
      <c r="F73" s="36"/>
      <c r="G73" s="36"/>
      <c r="H73" s="36"/>
      <c r="I73" s="36"/>
    </row>
    <row r="74" customFormat="false" ht="30" hidden="false" customHeight="true" outlineLevel="0" collapsed="false">
      <c r="B74" s="37" t="s">
        <v>667</v>
      </c>
      <c r="C74" s="37"/>
      <c r="D74" s="37"/>
      <c r="E74" s="37"/>
      <c r="F74" s="37"/>
      <c r="G74" s="37"/>
      <c r="H74" s="37"/>
      <c r="I74" s="37"/>
    </row>
  </sheetData>
  <mergeCells count="39">
    <mergeCell ref="B4:I4"/>
    <mergeCell ref="B7:I7"/>
    <mergeCell ref="B8:I8"/>
    <mergeCell ref="B9:I9"/>
    <mergeCell ref="B10:I10"/>
    <mergeCell ref="B13:I13"/>
    <mergeCell ref="B14:I14"/>
    <mergeCell ref="B15:I15"/>
    <mergeCell ref="B16:I16"/>
    <mergeCell ref="C20:I20"/>
    <mergeCell ref="C21:I21"/>
    <mergeCell ref="C22:I22"/>
    <mergeCell ref="C23:I23"/>
    <mergeCell ref="C24:I24"/>
    <mergeCell ref="C25:I25"/>
    <mergeCell ref="B45:I45"/>
    <mergeCell ref="B48:I48"/>
    <mergeCell ref="B49:I49"/>
    <mergeCell ref="B50:I50"/>
    <mergeCell ref="B51:I51"/>
    <mergeCell ref="B52:I52"/>
    <mergeCell ref="B53:I53"/>
    <mergeCell ref="B54:I54"/>
    <mergeCell ref="B55:I55"/>
    <mergeCell ref="B58:I58"/>
    <mergeCell ref="B59:I59"/>
    <mergeCell ref="B60:I60"/>
    <mergeCell ref="B61:I61"/>
    <mergeCell ref="B62:I62"/>
    <mergeCell ref="B65:I65"/>
    <mergeCell ref="B66:I66"/>
    <mergeCell ref="B67:I67"/>
    <mergeCell ref="B68:I68"/>
    <mergeCell ref="B69:I69"/>
    <mergeCell ref="B70:I70"/>
    <mergeCell ref="B71:I71"/>
    <mergeCell ref="B72:I72"/>
    <mergeCell ref="B73:I73"/>
    <mergeCell ref="B74:I74"/>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25" t="s">
        <v>668</v>
      </c>
      <c r="I1" s="26" t="s">
        <v>164</v>
      </c>
    </row>
    <row r="2" customFormat="false" ht="15" hidden="false" customHeight="false" outlineLevel="0" collapsed="false">
      <c r="B2" s="38" t="s">
        <v>669</v>
      </c>
    </row>
    <row r="4" customFormat="false" ht="15" hidden="false" customHeight="false" outlineLevel="0" collapsed="false">
      <c r="B4" s="27" t="s">
        <v>225</v>
      </c>
      <c r="C4" s="28"/>
      <c r="D4" s="28"/>
      <c r="E4" s="28"/>
      <c r="F4" s="28"/>
      <c r="G4" s="28"/>
      <c r="H4" s="28"/>
      <c r="I4" s="28"/>
    </row>
    <row r="5" customFormat="false" ht="43.5" hidden="false" customHeight="true" outlineLevel="0" collapsed="false">
      <c r="B5" s="29" t="s">
        <v>670</v>
      </c>
      <c r="C5" s="29"/>
      <c r="D5" s="29"/>
      <c r="E5" s="29"/>
      <c r="F5" s="29"/>
      <c r="G5" s="29"/>
      <c r="H5" s="29"/>
      <c r="I5" s="29"/>
    </row>
    <row r="7" customFormat="false" ht="15" hidden="false" customHeight="false" outlineLevel="0" collapsed="false">
      <c r="B7" s="27" t="s">
        <v>227</v>
      </c>
      <c r="C7" s="28"/>
      <c r="D7" s="28"/>
      <c r="E7" s="28"/>
      <c r="F7" s="28"/>
      <c r="G7" s="28"/>
      <c r="H7" s="28"/>
      <c r="I7" s="28"/>
    </row>
    <row r="8" customFormat="false" ht="16.5" hidden="false" customHeight="true" outlineLevel="0" collapsed="false">
      <c r="B8" s="29" t="s">
        <v>671</v>
      </c>
      <c r="C8" s="29"/>
      <c r="D8" s="29"/>
      <c r="E8" s="29"/>
      <c r="F8" s="29"/>
      <c r="G8" s="29"/>
      <c r="H8" s="29"/>
      <c r="I8" s="29"/>
    </row>
    <row r="9" customFormat="false" ht="16.5" hidden="false" customHeight="true" outlineLevel="0" collapsed="false">
      <c r="B9" s="29" t="s">
        <v>672</v>
      </c>
      <c r="C9" s="29"/>
      <c r="D9" s="29"/>
      <c r="E9" s="29"/>
      <c r="F9" s="29"/>
      <c r="G9" s="29"/>
      <c r="H9" s="29"/>
      <c r="I9" s="29"/>
    </row>
    <row r="10" customFormat="false" ht="16.5" hidden="false" customHeight="true" outlineLevel="0" collapsed="false">
      <c r="B10" s="29" t="s">
        <v>673</v>
      </c>
      <c r="C10" s="29"/>
      <c r="D10" s="29"/>
      <c r="E10" s="29"/>
      <c r="F10" s="29"/>
      <c r="G10" s="29"/>
      <c r="H10" s="29"/>
      <c r="I10" s="29"/>
    </row>
    <row r="11" customFormat="false" ht="16.5" hidden="false" customHeight="true" outlineLevel="0" collapsed="false">
      <c r="B11" s="29" t="s">
        <v>674</v>
      </c>
      <c r="C11" s="29"/>
      <c r="D11" s="29"/>
      <c r="E11" s="29"/>
      <c r="F11" s="29"/>
      <c r="G11" s="29"/>
      <c r="H11" s="29"/>
      <c r="I11" s="29"/>
    </row>
    <row r="13" customFormat="false" ht="15" hidden="false" customHeight="false" outlineLevel="0" collapsed="false">
      <c r="B13" s="27" t="s">
        <v>232</v>
      </c>
      <c r="C13" s="28"/>
      <c r="D13" s="28"/>
      <c r="E13" s="28"/>
      <c r="F13" s="28"/>
      <c r="G13" s="28"/>
      <c r="H13" s="28"/>
      <c r="I13" s="28"/>
    </row>
    <row r="14" customFormat="false" ht="15" hidden="false" customHeight="false" outlineLevel="0" collapsed="false">
      <c r="B14" s="12" t="s">
        <v>233</v>
      </c>
      <c r="C14" s="30" t="s">
        <v>18</v>
      </c>
    </row>
    <row r="15" customFormat="false" ht="15" hidden="false" customHeight="false" outlineLevel="0" collapsed="false">
      <c r="B15" s="16" t="s">
        <v>675</v>
      </c>
      <c r="C15" s="39" t="n">
        <v>100</v>
      </c>
    </row>
    <row r="16" customFormat="false" ht="15" hidden="false" customHeight="false" outlineLevel="0" collapsed="false">
      <c r="B16" s="16" t="s">
        <v>676</v>
      </c>
      <c r="C16" s="40" t="n">
        <v>0.098</v>
      </c>
    </row>
    <row r="17" customFormat="false" ht="15" hidden="false" customHeight="false" outlineLevel="0" collapsed="false">
      <c r="B17" s="16" t="s">
        <v>677</v>
      </c>
      <c r="C17" s="40" t="n">
        <v>0.07</v>
      </c>
    </row>
    <row r="18" customFormat="false" ht="15" hidden="false" customHeight="false" outlineLevel="0" collapsed="false">
      <c r="B18" s="16" t="s">
        <v>678</v>
      </c>
      <c r="C18" s="40" t="n">
        <v>0.006</v>
      </c>
    </row>
    <row r="19" customFormat="false" ht="15" hidden="false" customHeight="false" outlineLevel="0" collapsed="false">
      <c r="B19" s="16" t="s">
        <v>679</v>
      </c>
      <c r="C19" s="40" t="n">
        <v>0.015</v>
      </c>
    </row>
    <row r="20" customFormat="false" ht="15" hidden="false" customHeight="false" outlineLevel="0" collapsed="false">
      <c r="B20" s="16" t="s">
        <v>680</v>
      </c>
      <c r="C20" s="57" t="n">
        <v>0.45</v>
      </c>
    </row>
    <row r="21" customFormat="false" ht="15" hidden="false" customHeight="false" outlineLevel="0" collapsed="false">
      <c r="B21" s="16" t="s">
        <v>681</v>
      </c>
      <c r="C21" s="57" t="n">
        <v>0.1</v>
      </c>
    </row>
    <row r="22" customFormat="false" ht="15" hidden="false" customHeight="false" outlineLevel="0" collapsed="false">
      <c r="B22" s="16" t="s">
        <v>682</v>
      </c>
      <c r="C22" s="39" t="n">
        <v>0</v>
      </c>
    </row>
    <row r="23" customFormat="false" ht="15" hidden="false" customHeight="false" outlineLevel="0" collapsed="false">
      <c r="B23" s="16" t="s">
        <v>683</v>
      </c>
      <c r="C23" s="39" t="n">
        <v>0</v>
      </c>
    </row>
    <row r="24" customFormat="false" ht="15" hidden="false" customHeight="false" outlineLevel="0" collapsed="false">
      <c r="B24" s="16" t="s">
        <v>684</v>
      </c>
      <c r="C24" s="39" t="n">
        <v>0</v>
      </c>
    </row>
    <row r="25" customFormat="false" ht="15" hidden="false" customHeight="false" outlineLevel="0" collapsed="false">
      <c r="B25" s="16" t="s">
        <v>685</v>
      </c>
      <c r="C25" s="57" t="n">
        <v>0.25</v>
      </c>
      <c r="D25" s="6" t="s">
        <v>686</v>
      </c>
    </row>
    <row r="26" customFormat="false" ht="15" hidden="false" customHeight="false" outlineLevel="0" collapsed="false">
      <c r="B26" s="16" t="s">
        <v>687</v>
      </c>
      <c r="C26" s="57" t="n">
        <v>0.15</v>
      </c>
      <c r="D26" s="6" t="s">
        <v>688</v>
      </c>
    </row>
    <row r="28" customFormat="false" ht="15" hidden="false" customHeight="false" outlineLevel="0" collapsed="false">
      <c r="B28" s="43" t="s">
        <v>243</v>
      </c>
      <c r="C28" s="44"/>
      <c r="D28" s="44"/>
      <c r="E28" s="44"/>
      <c r="F28" s="44"/>
      <c r="G28" s="44"/>
      <c r="H28" s="44"/>
      <c r="I28" s="44"/>
    </row>
    <row r="29" customFormat="false" ht="15" hidden="false" customHeight="false" outlineLevel="0" collapsed="false">
      <c r="B29" s="12" t="s">
        <v>689</v>
      </c>
      <c r="C29" s="30" t="s">
        <v>18</v>
      </c>
    </row>
    <row r="30" customFormat="false" ht="15" hidden="false" customHeight="false" outlineLevel="0" collapsed="false">
      <c r="B30" s="16" t="s">
        <v>690</v>
      </c>
      <c r="C30" s="45" t="n">
        <f aca="false">$C$15*$C$21</f>
        <v>10</v>
      </c>
    </row>
    <row r="31" customFormat="false" ht="15" hidden="false" customHeight="false" outlineLevel="0" collapsed="false">
      <c r="B31" s="16" t="s">
        <v>691</v>
      </c>
      <c r="C31" s="45" t="n">
        <f aca="false">$C$15*$C$16+$C$22</f>
        <v>9.8</v>
      </c>
    </row>
    <row r="32" customFormat="false" ht="15" hidden="false" customHeight="false" outlineLevel="0" collapsed="false">
      <c r="B32" s="16" t="s">
        <v>692</v>
      </c>
      <c r="C32" s="45" t="n">
        <f aca="false">($C$15-$C$30)*$C$17</f>
        <v>6.3</v>
      </c>
    </row>
    <row r="33" customFormat="false" ht="15" hidden="false" customHeight="false" outlineLevel="0" collapsed="false">
      <c r="B33" s="16" t="s">
        <v>693</v>
      </c>
      <c r="C33" s="45" t="n">
        <f aca="false">$C$15*$C$18+$C$23</f>
        <v>0.6</v>
      </c>
    </row>
    <row r="34" customFormat="false" ht="15" hidden="false" customHeight="false" outlineLevel="0" collapsed="false">
      <c r="B34" s="16" t="s">
        <v>694</v>
      </c>
      <c r="C34" s="45" t="n">
        <f aca="false">$C$15*$C$19*$C$20</f>
        <v>0.675</v>
      </c>
    </row>
    <row r="35" customFormat="false" ht="15" hidden="false" customHeight="false" outlineLevel="0" collapsed="false">
      <c r="B35" s="31" t="s">
        <v>695</v>
      </c>
      <c r="C35" s="49" t="n">
        <f aca="false">$C$31-$C$32-$C$33-$C$34</f>
        <v>2.225</v>
      </c>
    </row>
    <row r="36" customFormat="false" ht="15" hidden="false" customHeight="false" outlineLevel="0" collapsed="false">
      <c r="B36" s="16" t="s">
        <v>696</v>
      </c>
      <c r="C36" s="45" t="n">
        <f aca="false">$C$35*$C$25</f>
        <v>0.55625</v>
      </c>
    </row>
    <row r="37" customFormat="false" ht="15" hidden="false" customHeight="false" outlineLevel="0" collapsed="false">
      <c r="B37" s="31" t="s">
        <v>697</v>
      </c>
      <c r="C37" s="49" t="n">
        <f aca="false">$C$35-$C$36</f>
        <v>1.66875</v>
      </c>
    </row>
    <row r="38" customFormat="false" ht="15" hidden="false" customHeight="false" outlineLevel="0" collapsed="false">
      <c r="B38" s="16" t="s">
        <v>698</v>
      </c>
      <c r="C38" s="45" t="n">
        <f aca="false">$C$30+$C$24</f>
        <v>10</v>
      </c>
    </row>
    <row r="39" customFormat="false" ht="15" hidden="false" customHeight="false" outlineLevel="0" collapsed="false">
      <c r="B39" s="31" t="s">
        <v>94</v>
      </c>
      <c r="C39" s="68" t="n">
        <f aca="false">IF($C$38=0,0,$C$37/$C$38)</f>
        <v>0.166875</v>
      </c>
    </row>
    <row r="40" customFormat="false" ht="15" hidden="false" customHeight="false" outlineLevel="0" collapsed="false">
      <c r="B40" s="16" t="s">
        <v>699</v>
      </c>
      <c r="C40" s="45" t="n">
        <f aca="false">($C$39-$C$26)*$C$38</f>
        <v>0.16875</v>
      </c>
    </row>
    <row r="41" customFormat="false" ht="15" hidden="false" customHeight="false" outlineLevel="0" collapsed="false">
      <c r="B41" s="16" t="s">
        <v>700</v>
      </c>
      <c r="C41" s="56" t="str">
        <f aca="false">IF($C$39&gt;=$C$26,"Accept","Reject / re-price")</f>
        <v>Accept</v>
      </c>
    </row>
    <row r="43" customFormat="false" ht="15" hidden="false" customHeight="false" outlineLevel="0" collapsed="false">
      <c r="B43" s="43" t="s">
        <v>249</v>
      </c>
      <c r="C43" s="44"/>
      <c r="D43" s="44"/>
      <c r="E43" s="44"/>
      <c r="F43" s="44"/>
      <c r="G43" s="44"/>
      <c r="H43" s="44"/>
      <c r="I43" s="44"/>
    </row>
    <row r="44" customFormat="false" ht="30" hidden="false" customHeight="true" outlineLevel="0" collapsed="false">
      <c r="B44" s="47" t="s">
        <v>701</v>
      </c>
      <c r="C44" s="47"/>
      <c r="D44" s="47"/>
      <c r="E44" s="47"/>
      <c r="F44" s="47"/>
      <c r="G44" s="47"/>
      <c r="H44" s="47"/>
      <c r="I44" s="47"/>
    </row>
    <row r="45" customFormat="false" ht="16.5" hidden="false" customHeight="true" outlineLevel="0" collapsed="false">
      <c r="B45" s="48" t="s">
        <v>702</v>
      </c>
      <c r="C45" s="48"/>
      <c r="D45" s="48"/>
      <c r="E45" s="48"/>
      <c r="F45" s="48"/>
      <c r="G45" s="48"/>
      <c r="H45" s="48"/>
      <c r="I45" s="48"/>
    </row>
  </sheetData>
  <mergeCells count="7">
    <mergeCell ref="B5:I5"/>
    <mergeCell ref="B8:I8"/>
    <mergeCell ref="B9:I9"/>
    <mergeCell ref="B10:I10"/>
    <mergeCell ref="B11:I11"/>
    <mergeCell ref="B44:I44"/>
    <mergeCell ref="B45:I45"/>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25" t="s">
        <v>703</v>
      </c>
      <c r="I1" s="26" t="s">
        <v>164</v>
      </c>
    </row>
    <row r="2" customFormat="false" ht="15" hidden="false" customHeight="false" outlineLevel="0" collapsed="false">
      <c r="B2" s="38" t="s">
        <v>704</v>
      </c>
    </row>
    <row r="4" customFormat="false" ht="15" hidden="false" customHeight="false" outlineLevel="0" collapsed="false">
      <c r="B4" s="27" t="s">
        <v>225</v>
      </c>
      <c r="C4" s="28"/>
      <c r="D4" s="28"/>
      <c r="E4" s="28"/>
      <c r="F4" s="28"/>
      <c r="G4" s="28"/>
      <c r="H4" s="28"/>
      <c r="I4" s="28"/>
    </row>
    <row r="5" customFormat="false" ht="57" hidden="false" customHeight="true" outlineLevel="0" collapsed="false">
      <c r="B5" s="29" t="s">
        <v>705</v>
      </c>
      <c r="C5" s="29"/>
      <c r="D5" s="29"/>
      <c r="E5" s="29"/>
      <c r="F5" s="29"/>
      <c r="G5" s="29"/>
      <c r="H5" s="29"/>
      <c r="I5" s="29"/>
    </row>
    <row r="7" customFormat="false" ht="15" hidden="false" customHeight="false" outlineLevel="0" collapsed="false">
      <c r="B7" s="27" t="s">
        <v>227</v>
      </c>
      <c r="C7" s="28"/>
      <c r="D7" s="28"/>
      <c r="E7" s="28"/>
      <c r="F7" s="28"/>
      <c r="G7" s="28"/>
      <c r="H7" s="28"/>
      <c r="I7" s="28"/>
    </row>
    <row r="8" customFormat="false" ht="16.5" hidden="false" customHeight="true" outlineLevel="0" collapsed="false">
      <c r="B8" s="29" t="s">
        <v>706</v>
      </c>
      <c r="C8" s="29"/>
      <c r="D8" s="29"/>
      <c r="E8" s="29"/>
      <c r="F8" s="29"/>
      <c r="G8" s="29"/>
      <c r="H8" s="29"/>
      <c r="I8" s="29"/>
    </row>
    <row r="9" customFormat="false" ht="16.5" hidden="false" customHeight="true" outlineLevel="0" collapsed="false">
      <c r="B9" s="29" t="s">
        <v>707</v>
      </c>
      <c r="C9" s="29"/>
      <c r="D9" s="29"/>
      <c r="E9" s="29"/>
      <c r="F9" s="29"/>
      <c r="G9" s="29"/>
      <c r="H9" s="29"/>
      <c r="I9" s="29"/>
    </row>
    <row r="10" customFormat="false" ht="16.5" hidden="false" customHeight="true" outlineLevel="0" collapsed="false">
      <c r="B10" s="29" t="s">
        <v>708</v>
      </c>
      <c r="C10" s="29"/>
      <c r="D10" s="29"/>
      <c r="E10" s="29"/>
      <c r="F10" s="29"/>
      <c r="G10" s="29"/>
      <c r="H10" s="29"/>
      <c r="I10" s="29"/>
    </row>
    <row r="11" customFormat="false" ht="16.5" hidden="false" customHeight="true" outlineLevel="0" collapsed="false">
      <c r="B11" s="29" t="s">
        <v>709</v>
      </c>
      <c r="C11" s="29"/>
      <c r="D11" s="29"/>
      <c r="E11" s="29"/>
      <c r="F11" s="29"/>
      <c r="G11" s="29"/>
      <c r="H11" s="29"/>
      <c r="I11" s="29"/>
    </row>
    <row r="13" customFormat="false" ht="15" hidden="false" customHeight="false" outlineLevel="0" collapsed="false">
      <c r="B13" s="27" t="s">
        <v>232</v>
      </c>
      <c r="C13" s="28"/>
      <c r="D13" s="28"/>
      <c r="E13" s="28"/>
      <c r="F13" s="28"/>
      <c r="G13" s="28"/>
      <c r="H13" s="28"/>
      <c r="I13" s="28"/>
    </row>
    <row r="14" customFormat="false" ht="15" hidden="false" customHeight="false" outlineLevel="0" collapsed="false">
      <c r="B14" s="12" t="s">
        <v>233</v>
      </c>
      <c r="C14" s="30" t="s">
        <v>18</v>
      </c>
    </row>
    <row r="15" customFormat="false" ht="15" hidden="false" customHeight="false" outlineLevel="0" collapsed="false">
      <c r="B15" s="16" t="s">
        <v>710</v>
      </c>
      <c r="C15" s="39" t="n">
        <v>100</v>
      </c>
    </row>
    <row r="16" customFormat="false" ht="15" hidden="false" customHeight="false" outlineLevel="0" collapsed="false">
      <c r="B16" s="16" t="s">
        <v>681</v>
      </c>
      <c r="C16" s="57" t="n">
        <v>0.1</v>
      </c>
    </row>
    <row r="17" customFormat="false" ht="15" hidden="false" customHeight="false" outlineLevel="0" collapsed="false">
      <c r="B17" s="16" t="s">
        <v>677</v>
      </c>
      <c r="C17" s="40" t="n">
        <v>0.07</v>
      </c>
    </row>
    <row r="18" customFormat="false" ht="15" hidden="false" customHeight="false" outlineLevel="0" collapsed="false">
      <c r="B18" s="16" t="s">
        <v>711</v>
      </c>
      <c r="C18" s="40" t="n">
        <v>0.006</v>
      </c>
    </row>
    <row r="19" customFormat="false" ht="15" hidden="false" customHeight="false" outlineLevel="0" collapsed="false">
      <c r="B19" s="16" t="s">
        <v>712</v>
      </c>
      <c r="C19" s="40" t="n">
        <v>0.015</v>
      </c>
    </row>
    <row r="20" customFormat="false" ht="15" hidden="false" customHeight="false" outlineLevel="0" collapsed="false">
      <c r="B20" s="16" t="s">
        <v>713</v>
      </c>
      <c r="C20" s="40" t="n">
        <v>0.025</v>
      </c>
    </row>
    <row r="21" customFormat="false" ht="15" hidden="false" customHeight="false" outlineLevel="0" collapsed="false">
      <c r="B21" s="16" t="s">
        <v>714</v>
      </c>
      <c r="C21" s="57" t="n">
        <v>0.45</v>
      </c>
    </row>
    <row r="22" customFormat="false" ht="15" hidden="false" customHeight="false" outlineLevel="0" collapsed="false">
      <c r="B22" s="16" t="s">
        <v>685</v>
      </c>
      <c r="C22" s="57" t="n">
        <v>0.25</v>
      </c>
    </row>
    <row r="23" customFormat="false" ht="15" hidden="false" customHeight="false" outlineLevel="0" collapsed="false">
      <c r="B23" s="16" t="s">
        <v>715</v>
      </c>
      <c r="C23" s="57" t="n">
        <v>0.15</v>
      </c>
    </row>
    <row r="24" customFormat="false" ht="15" hidden="false" customHeight="false" outlineLevel="0" collapsed="false">
      <c r="B24" s="16" t="s">
        <v>716</v>
      </c>
      <c r="C24" s="40" t="n">
        <v>0.094</v>
      </c>
    </row>
    <row r="26" customFormat="false" ht="15" hidden="false" customHeight="false" outlineLevel="0" collapsed="false">
      <c r="B26" s="43" t="s">
        <v>243</v>
      </c>
      <c r="C26" s="44"/>
      <c r="D26" s="44"/>
      <c r="E26" s="44"/>
      <c r="F26" s="44"/>
      <c r="G26" s="44"/>
      <c r="H26" s="44"/>
      <c r="I26" s="44"/>
    </row>
    <row r="27" customFormat="false" ht="15" hidden="false" customHeight="false" outlineLevel="0" collapsed="false">
      <c r="B27" s="16" t="s">
        <v>717</v>
      </c>
      <c r="C27" s="45" t="n">
        <f aca="false">$C$15*$C$16</f>
        <v>10</v>
      </c>
    </row>
    <row r="28" customFormat="false" ht="15" hidden="false" customHeight="false" outlineLevel="0" collapsed="false">
      <c r="B28" s="16" t="s">
        <v>718</v>
      </c>
      <c r="C28" s="45" t="n">
        <f aca="false">$C$23*$C$27</f>
        <v>1.5</v>
      </c>
    </row>
    <row r="29" customFormat="false" ht="15" hidden="false" customHeight="false" outlineLevel="0" collapsed="false">
      <c r="B29" s="16" t="s">
        <v>719</v>
      </c>
      <c r="C29" s="45" t="n">
        <f aca="false">$C$28/(1-$C$22)</f>
        <v>2</v>
      </c>
    </row>
    <row r="30" customFormat="false" ht="15" hidden="false" customHeight="false" outlineLevel="0" collapsed="false">
      <c r="B30" s="16" t="s">
        <v>720</v>
      </c>
      <c r="C30" s="45" t="n">
        <f aca="false">($C$15-$C$27)*$C$17</f>
        <v>6.3</v>
      </c>
    </row>
    <row r="31" customFormat="false" ht="15" hidden="false" customHeight="false" outlineLevel="0" collapsed="false">
      <c r="B31" s="16" t="s">
        <v>721</v>
      </c>
      <c r="C31" s="45" t="n">
        <f aca="false">$C$15*$C$18</f>
        <v>0.6</v>
      </c>
    </row>
    <row r="32" customFormat="false" ht="15" hidden="false" customHeight="false" outlineLevel="0" collapsed="false">
      <c r="B32" s="16" t="s">
        <v>722</v>
      </c>
      <c r="C32" s="45" t="n">
        <f aca="false">$C$15*$C$19*$C$21</f>
        <v>0.675</v>
      </c>
    </row>
    <row r="33" customFormat="false" ht="15" hidden="false" customHeight="false" outlineLevel="0" collapsed="false">
      <c r="B33" s="16" t="s">
        <v>723</v>
      </c>
      <c r="C33" s="45" t="n">
        <f aca="false">$C$29+$C$30+$C$31+$C$32</f>
        <v>9.575</v>
      </c>
    </row>
    <row r="34" customFormat="false" ht="15" hidden="false" customHeight="false" outlineLevel="0" collapsed="false">
      <c r="B34" s="31" t="s">
        <v>724</v>
      </c>
      <c r="C34" s="69" t="n">
        <f aca="false">$C$33/$C$15</f>
        <v>0.09575</v>
      </c>
    </row>
    <row r="35" customFormat="false" ht="15" hidden="false" customHeight="false" outlineLevel="0" collapsed="false">
      <c r="B35" s="16" t="s">
        <v>725</v>
      </c>
      <c r="C35" s="45" t="n">
        <f aca="false">MAX(0,($C$34-$C$24)*$C$15)</f>
        <v>0.175000000000002</v>
      </c>
    </row>
    <row r="36" customFormat="false" ht="15" hidden="false" customHeight="false" outlineLevel="0" collapsed="false">
      <c r="B36" s="16" t="s">
        <v>726</v>
      </c>
      <c r="C36" s="70" t="n">
        <f aca="false">($C$29+$C$30+$C$31+$C$15*$C$20*$C$21)/$C$15</f>
        <v>0.10025</v>
      </c>
    </row>
    <row r="38" customFormat="false" ht="15" hidden="false" customHeight="false" outlineLevel="0" collapsed="false">
      <c r="B38" s="43" t="s">
        <v>249</v>
      </c>
      <c r="C38" s="44"/>
      <c r="D38" s="44"/>
      <c r="E38" s="44"/>
      <c r="F38" s="44"/>
      <c r="G38" s="44"/>
      <c r="H38" s="44"/>
      <c r="I38" s="44"/>
    </row>
    <row r="39" customFormat="false" ht="30" hidden="false" customHeight="true" outlineLevel="0" collapsed="false">
      <c r="B39" s="47" t="s">
        <v>727</v>
      </c>
      <c r="C39" s="47"/>
      <c r="D39" s="47"/>
      <c r="E39" s="47"/>
      <c r="F39" s="47"/>
      <c r="G39" s="47"/>
      <c r="H39" s="47"/>
      <c r="I39" s="47"/>
    </row>
    <row r="40" customFormat="false" ht="16.5" hidden="false" customHeight="true" outlineLevel="0" collapsed="false">
      <c r="B40" s="48" t="s">
        <v>728</v>
      </c>
      <c r="C40" s="48"/>
      <c r="D40" s="48"/>
      <c r="E40" s="48"/>
      <c r="F40" s="48"/>
      <c r="G40" s="48"/>
      <c r="H40" s="48"/>
      <c r="I40" s="48"/>
    </row>
  </sheetData>
  <mergeCells count="7">
    <mergeCell ref="B5:I5"/>
    <mergeCell ref="B8:I8"/>
    <mergeCell ref="B9:I9"/>
    <mergeCell ref="B10:I10"/>
    <mergeCell ref="B11:I11"/>
    <mergeCell ref="B39:I39"/>
    <mergeCell ref="B40:I40"/>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25" t="s">
        <v>729</v>
      </c>
      <c r="I1" s="26" t="s">
        <v>164</v>
      </c>
    </row>
    <row r="2" customFormat="false" ht="15" hidden="false" customHeight="false" outlineLevel="0" collapsed="false">
      <c r="B2" s="38" t="s">
        <v>730</v>
      </c>
    </row>
    <row r="4" customFormat="false" ht="15" hidden="false" customHeight="false" outlineLevel="0" collapsed="false">
      <c r="B4" s="27" t="s">
        <v>225</v>
      </c>
      <c r="C4" s="28"/>
      <c r="D4" s="28"/>
      <c r="E4" s="28"/>
      <c r="F4" s="28"/>
      <c r="G4" s="28"/>
      <c r="H4" s="28"/>
      <c r="I4" s="28"/>
    </row>
    <row r="5" customFormat="false" ht="43.5" hidden="false" customHeight="true" outlineLevel="0" collapsed="false">
      <c r="B5" s="29" t="s">
        <v>731</v>
      </c>
      <c r="C5" s="29"/>
      <c r="D5" s="29"/>
      <c r="E5" s="29"/>
      <c r="F5" s="29"/>
      <c r="G5" s="29"/>
      <c r="H5" s="29"/>
      <c r="I5" s="29"/>
    </row>
    <row r="7" customFormat="false" ht="15" hidden="false" customHeight="false" outlineLevel="0" collapsed="false">
      <c r="B7" s="27" t="s">
        <v>227</v>
      </c>
      <c r="C7" s="28"/>
      <c r="D7" s="28"/>
      <c r="E7" s="28"/>
      <c r="F7" s="28"/>
      <c r="G7" s="28"/>
      <c r="H7" s="28"/>
      <c r="I7" s="28"/>
    </row>
    <row r="8" customFormat="false" ht="16.5" hidden="false" customHeight="true" outlineLevel="0" collapsed="false">
      <c r="B8" s="29" t="s">
        <v>732</v>
      </c>
      <c r="C8" s="29"/>
      <c r="D8" s="29"/>
      <c r="E8" s="29"/>
      <c r="F8" s="29"/>
      <c r="G8" s="29"/>
      <c r="H8" s="29"/>
      <c r="I8" s="29"/>
    </row>
    <row r="9" customFormat="false" ht="16.5" hidden="false" customHeight="true" outlineLevel="0" collapsed="false">
      <c r="B9" s="29" t="s">
        <v>733</v>
      </c>
      <c r="C9" s="29"/>
      <c r="D9" s="29"/>
      <c r="E9" s="29"/>
      <c r="F9" s="29"/>
      <c r="G9" s="29"/>
      <c r="H9" s="29"/>
      <c r="I9" s="29"/>
    </row>
    <row r="10" customFormat="false" ht="16.5" hidden="false" customHeight="true" outlineLevel="0" collapsed="false">
      <c r="B10" s="29" t="s">
        <v>734</v>
      </c>
      <c r="C10" s="29"/>
      <c r="D10" s="29"/>
      <c r="E10" s="29"/>
      <c r="F10" s="29"/>
      <c r="G10" s="29"/>
      <c r="H10" s="29"/>
      <c r="I10" s="29"/>
    </row>
    <row r="12" customFormat="false" ht="15" hidden="false" customHeight="false" outlineLevel="0" collapsed="false">
      <c r="B12" s="27" t="s">
        <v>232</v>
      </c>
      <c r="C12" s="28"/>
      <c r="D12" s="28"/>
      <c r="E12" s="28"/>
      <c r="F12" s="28"/>
      <c r="G12" s="28"/>
      <c r="H12" s="28"/>
      <c r="I12" s="28"/>
    </row>
    <row r="13" customFormat="false" ht="15" hidden="false" customHeight="false" outlineLevel="0" collapsed="false">
      <c r="B13" s="12" t="s">
        <v>233</v>
      </c>
      <c r="C13" s="30" t="s">
        <v>735</v>
      </c>
      <c r="D13" s="30" t="s">
        <v>736</v>
      </c>
    </row>
    <row r="14" customFormat="false" ht="15" hidden="false" customHeight="false" outlineLevel="0" collapsed="false">
      <c r="B14" s="16" t="s">
        <v>675</v>
      </c>
      <c r="C14" s="39" t="n">
        <v>200</v>
      </c>
      <c r="D14" s="39" t="n">
        <v>50</v>
      </c>
    </row>
    <row r="15" customFormat="false" ht="15" hidden="false" customHeight="false" outlineLevel="0" collapsed="false">
      <c r="B15" s="16" t="s">
        <v>676</v>
      </c>
      <c r="C15" s="40" t="n">
        <v>0.086</v>
      </c>
      <c r="D15" s="40" t="n">
        <v>0.12</v>
      </c>
    </row>
    <row r="16" customFormat="false" ht="15" hidden="false" customHeight="false" outlineLevel="0" collapsed="false">
      <c r="B16" s="16" t="s">
        <v>677</v>
      </c>
      <c r="C16" s="40" t="n">
        <v>0.07</v>
      </c>
      <c r="D16" s="40" t="n">
        <v>0.07</v>
      </c>
    </row>
    <row r="17" customFormat="false" ht="15" hidden="false" customHeight="false" outlineLevel="0" collapsed="false">
      <c r="B17" s="16" t="s">
        <v>678</v>
      </c>
      <c r="C17" s="40" t="n">
        <v>0.003</v>
      </c>
      <c r="D17" s="40" t="n">
        <v>0.012</v>
      </c>
    </row>
    <row r="18" customFormat="false" ht="15" hidden="false" customHeight="false" outlineLevel="0" collapsed="false">
      <c r="B18" s="16" t="s">
        <v>679</v>
      </c>
      <c r="C18" s="40" t="n">
        <v>0.003</v>
      </c>
      <c r="D18" s="40" t="n">
        <v>0.035</v>
      </c>
    </row>
    <row r="19" customFormat="false" ht="15" hidden="false" customHeight="false" outlineLevel="0" collapsed="false">
      <c r="B19" s="16" t="s">
        <v>680</v>
      </c>
      <c r="C19" s="57" t="n">
        <v>0.4</v>
      </c>
      <c r="D19" s="57" t="n">
        <v>0.55</v>
      </c>
    </row>
    <row r="20" customFormat="false" ht="15" hidden="false" customHeight="false" outlineLevel="0" collapsed="false">
      <c r="B20" s="16" t="s">
        <v>681</v>
      </c>
      <c r="C20" s="57" t="n">
        <v>0.05</v>
      </c>
      <c r="D20" s="57" t="n">
        <v>0.12</v>
      </c>
    </row>
    <row r="21" customFormat="false" ht="15" hidden="false" customHeight="false" outlineLevel="0" collapsed="false">
      <c r="B21" s="16" t="s">
        <v>682</v>
      </c>
      <c r="C21" s="39" t="n">
        <v>0</v>
      </c>
      <c r="D21" s="39" t="n">
        <v>0</v>
      </c>
    </row>
    <row r="22" customFormat="false" ht="15" hidden="false" customHeight="false" outlineLevel="0" collapsed="false">
      <c r="B22" s="16" t="s">
        <v>683</v>
      </c>
      <c r="C22" s="39" t="n">
        <v>0</v>
      </c>
      <c r="D22" s="39" t="n">
        <v>0</v>
      </c>
    </row>
    <row r="23" customFormat="false" ht="15" hidden="false" customHeight="false" outlineLevel="0" collapsed="false">
      <c r="B23" s="16" t="s">
        <v>684</v>
      </c>
      <c r="C23" s="39" t="n">
        <v>0</v>
      </c>
      <c r="D23" s="39" t="n">
        <v>0</v>
      </c>
    </row>
    <row r="24" customFormat="false" ht="15" hidden="false" customHeight="false" outlineLevel="0" collapsed="false">
      <c r="B24" s="16" t="s">
        <v>685</v>
      </c>
      <c r="C24" s="57" t="n">
        <v>0.25</v>
      </c>
      <c r="E24" s="6" t="s">
        <v>686</v>
      </c>
    </row>
    <row r="25" customFormat="false" ht="15" hidden="false" customHeight="false" outlineLevel="0" collapsed="false">
      <c r="B25" s="16" t="s">
        <v>687</v>
      </c>
      <c r="C25" s="57" t="n">
        <v>0.15</v>
      </c>
      <c r="E25" s="6" t="s">
        <v>688</v>
      </c>
    </row>
    <row r="27" customFormat="false" ht="15" hidden="false" customHeight="false" outlineLevel="0" collapsed="false">
      <c r="B27" s="43" t="s">
        <v>243</v>
      </c>
      <c r="C27" s="44"/>
      <c r="D27" s="44"/>
      <c r="E27" s="44"/>
      <c r="F27" s="44"/>
      <c r="G27" s="44"/>
      <c r="H27" s="44"/>
      <c r="I27" s="44"/>
    </row>
    <row r="28" customFormat="false" ht="15" hidden="false" customHeight="false" outlineLevel="0" collapsed="false">
      <c r="B28" s="12" t="s">
        <v>689</v>
      </c>
      <c r="C28" s="30" t="s">
        <v>735</v>
      </c>
      <c r="D28" s="30" t="s">
        <v>736</v>
      </c>
    </row>
    <row r="29" customFormat="false" ht="15" hidden="false" customHeight="false" outlineLevel="0" collapsed="false">
      <c r="B29" s="16" t="s">
        <v>690</v>
      </c>
      <c r="C29" s="45" t="n">
        <f aca="false">$C$14*$C$20</f>
        <v>10</v>
      </c>
      <c r="D29" s="45" t="n">
        <f aca="false">$D$14*$D$20</f>
        <v>6</v>
      </c>
    </row>
    <row r="30" customFormat="false" ht="15" hidden="false" customHeight="false" outlineLevel="0" collapsed="false">
      <c r="B30" s="16" t="s">
        <v>691</v>
      </c>
      <c r="C30" s="45" t="n">
        <f aca="false">$C$14*$C$15+$C$21</f>
        <v>17.2</v>
      </c>
      <c r="D30" s="45" t="n">
        <f aca="false">$D$14*$D$15+$D$21</f>
        <v>6</v>
      </c>
    </row>
    <row r="31" customFormat="false" ht="15" hidden="false" customHeight="false" outlineLevel="0" collapsed="false">
      <c r="B31" s="16" t="s">
        <v>692</v>
      </c>
      <c r="C31" s="45" t="n">
        <f aca="false">($C$14-$C$29)*$C$16</f>
        <v>13.3</v>
      </c>
      <c r="D31" s="45" t="n">
        <f aca="false">($D$14-$D$29)*$D$16</f>
        <v>3.08</v>
      </c>
    </row>
    <row r="32" customFormat="false" ht="15" hidden="false" customHeight="false" outlineLevel="0" collapsed="false">
      <c r="B32" s="16" t="s">
        <v>693</v>
      </c>
      <c r="C32" s="45" t="n">
        <f aca="false">$C$14*$C$17+$C$22</f>
        <v>0.6</v>
      </c>
      <c r="D32" s="45" t="n">
        <f aca="false">$D$14*$D$17+$D$22</f>
        <v>0.6</v>
      </c>
    </row>
    <row r="33" customFormat="false" ht="15" hidden="false" customHeight="false" outlineLevel="0" collapsed="false">
      <c r="B33" s="16" t="s">
        <v>694</v>
      </c>
      <c r="C33" s="45" t="n">
        <f aca="false">$C$14*$C$18*$C$19</f>
        <v>0.24</v>
      </c>
      <c r="D33" s="45" t="n">
        <f aca="false">$D$14*$D$18*$D$19</f>
        <v>0.9625</v>
      </c>
    </row>
    <row r="34" customFormat="false" ht="15" hidden="false" customHeight="false" outlineLevel="0" collapsed="false">
      <c r="B34" s="31" t="s">
        <v>695</v>
      </c>
      <c r="C34" s="49" t="n">
        <f aca="false">$C$30-$C$31-$C$32-$C$33</f>
        <v>3.06</v>
      </c>
      <c r="D34" s="49" t="n">
        <f aca="false">$D$30-$D$31-$D$32-$D$33</f>
        <v>1.3575</v>
      </c>
    </row>
    <row r="35" customFormat="false" ht="15" hidden="false" customHeight="false" outlineLevel="0" collapsed="false">
      <c r="B35" s="16" t="s">
        <v>696</v>
      </c>
      <c r="C35" s="45" t="n">
        <f aca="false">$C$34*$C$24</f>
        <v>0.765</v>
      </c>
      <c r="D35" s="45" t="n">
        <f aca="false">$D$34*$C$24</f>
        <v>0.339375</v>
      </c>
    </row>
    <row r="36" customFormat="false" ht="15" hidden="false" customHeight="false" outlineLevel="0" collapsed="false">
      <c r="B36" s="31" t="s">
        <v>697</v>
      </c>
      <c r="C36" s="49" t="n">
        <f aca="false">$C$34-$C$35</f>
        <v>2.295</v>
      </c>
      <c r="D36" s="49" t="n">
        <f aca="false">$D$34-$D$35</f>
        <v>1.018125</v>
      </c>
    </row>
    <row r="37" customFormat="false" ht="15" hidden="false" customHeight="false" outlineLevel="0" collapsed="false">
      <c r="B37" s="16" t="s">
        <v>698</v>
      </c>
      <c r="C37" s="45" t="n">
        <f aca="false">$C$29+$C$23</f>
        <v>10</v>
      </c>
      <c r="D37" s="45" t="n">
        <f aca="false">$D$29+$D$23</f>
        <v>6</v>
      </c>
    </row>
    <row r="38" customFormat="false" ht="15" hidden="false" customHeight="false" outlineLevel="0" collapsed="false">
      <c r="B38" s="31" t="s">
        <v>94</v>
      </c>
      <c r="C38" s="68" t="n">
        <f aca="false">IF($C$37=0,0,$C$36/$C$37)</f>
        <v>0.2295</v>
      </c>
      <c r="D38" s="68" t="n">
        <f aca="false">IF($D$37=0,0,$D$36/$D$37)</f>
        <v>0.1696875</v>
      </c>
    </row>
    <row r="39" customFormat="false" ht="15" hidden="false" customHeight="false" outlineLevel="0" collapsed="false">
      <c r="B39" s="16" t="s">
        <v>699</v>
      </c>
      <c r="C39" s="45" t="n">
        <f aca="false">($C$38-$C$25)*$C$37</f>
        <v>0.794999999999999</v>
      </c>
      <c r="D39" s="45" t="n">
        <f aca="false">($D$38-$C$25)*$D$37</f>
        <v>0.118124999999999</v>
      </c>
    </row>
    <row r="40" customFormat="false" ht="15" hidden="false" customHeight="false" outlineLevel="0" collapsed="false">
      <c r="B40" s="16" t="s">
        <v>700</v>
      </c>
      <c r="C40" s="56" t="str">
        <f aca="false">IF($C$38&gt;=$C$25,"Accept","Reject / re-price")</f>
        <v>Accept</v>
      </c>
      <c r="D40" s="56" t="str">
        <f aca="false">IF($D$38&gt;=$C$25,"Accept","Reject / re-price")</f>
        <v>Accept</v>
      </c>
    </row>
    <row r="42" customFormat="false" ht="15" hidden="false" customHeight="false" outlineLevel="0" collapsed="false">
      <c r="B42" s="43" t="s">
        <v>249</v>
      </c>
      <c r="C42" s="44"/>
      <c r="D42" s="44"/>
      <c r="E42" s="44"/>
      <c r="F42" s="44"/>
      <c r="G42" s="44"/>
      <c r="H42" s="44"/>
      <c r="I42" s="44"/>
    </row>
    <row r="43" customFormat="false" ht="43.5" hidden="false" customHeight="true" outlineLevel="0" collapsed="false">
      <c r="B43" s="47" t="s">
        <v>737</v>
      </c>
      <c r="C43" s="47"/>
      <c r="D43" s="47"/>
      <c r="E43" s="47"/>
      <c r="F43" s="47"/>
      <c r="G43" s="47"/>
      <c r="H43" s="47"/>
      <c r="I43" s="47"/>
    </row>
    <row r="44" customFormat="false" ht="16.5" hidden="false" customHeight="true" outlineLevel="0" collapsed="false">
      <c r="B44" s="48" t="s">
        <v>738</v>
      </c>
      <c r="C44" s="48"/>
      <c r="D44" s="48"/>
      <c r="E44" s="48"/>
      <c r="F44" s="48"/>
      <c r="G44" s="48"/>
      <c r="H44" s="48"/>
      <c r="I44" s="48"/>
    </row>
  </sheetData>
  <mergeCells count="6">
    <mergeCell ref="B5:I5"/>
    <mergeCell ref="B8:I8"/>
    <mergeCell ref="B9:I9"/>
    <mergeCell ref="B10:I10"/>
    <mergeCell ref="B43:I43"/>
    <mergeCell ref="B44:I44"/>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25" t="s">
        <v>739</v>
      </c>
      <c r="I1" s="26" t="s">
        <v>164</v>
      </c>
    </row>
    <row r="2" customFormat="false" ht="15" hidden="false" customHeight="false" outlineLevel="0" collapsed="false">
      <c r="B2" s="38" t="s">
        <v>740</v>
      </c>
    </row>
    <row r="4" customFormat="false" ht="15" hidden="false" customHeight="false" outlineLevel="0" collapsed="false">
      <c r="B4" s="27" t="s">
        <v>225</v>
      </c>
      <c r="C4" s="28"/>
      <c r="D4" s="28"/>
      <c r="E4" s="28"/>
      <c r="F4" s="28"/>
      <c r="G4" s="28"/>
      <c r="H4" s="28"/>
      <c r="I4" s="28"/>
    </row>
    <row r="5" customFormat="false" ht="57" hidden="false" customHeight="true" outlineLevel="0" collapsed="false">
      <c r="B5" s="29" t="s">
        <v>741</v>
      </c>
      <c r="C5" s="29"/>
      <c r="D5" s="29"/>
      <c r="E5" s="29"/>
      <c r="F5" s="29"/>
      <c r="G5" s="29"/>
      <c r="H5" s="29"/>
      <c r="I5" s="29"/>
    </row>
    <row r="7" customFormat="false" ht="15" hidden="false" customHeight="false" outlineLevel="0" collapsed="false">
      <c r="B7" s="27" t="s">
        <v>227</v>
      </c>
      <c r="C7" s="28"/>
      <c r="D7" s="28"/>
      <c r="E7" s="28"/>
      <c r="F7" s="28"/>
      <c r="G7" s="28"/>
      <c r="H7" s="28"/>
      <c r="I7" s="28"/>
    </row>
    <row r="8" customFormat="false" ht="16.5" hidden="false" customHeight="true" outlineLevel="0" collapsed="false">
      <c r="B8" s="29" t="s">
        <v>742</v>
      </c>
      <c r="C8" s="29"/>
      <c r="D8" s="29"/>
      <c r="E8" s="29"/>
      <c r="F8" s="29"/>
      <c r="G8" s="29"/>
      <c r="H8" s="29"/>
      <c r="I8" s="29"/>
    </row>
    <row r="9" customFormat="false" ht="16.5" hidden="false" customHeight="true" outlineLevel="0" collapsed="false">
      <c r="B9" s="29" t="s">
        <v>743</v>
      </c>
      <c r="C9" s="29"/>
      <c r="D9" s="29"/>
      <c r="E9" s="29"/>
      <c r="F9" s="29"/>
      <c r="G9" s="29"/>
      <c r="H9" s="29"/>
      <c r="I9" s="29"/>
    </row>
    <row r="10" customFormat="false" ht="16.5" hidden="false" customHeight="true" outlineLevel="0" collapsed="false">
      <c r="B10" s="29" t="s">
        <v>744</v>
      </c>
      <c r="C10" s="29"/>
      <c r="D10" s="29"/>
      <c r="E10" s="29"/>
      <c r="F10" s="29"/>
      <c r="G10" s="29"/>
      <c r="H10" s="29"/>
      <c r="I10" s="29"/>
    </row>
    <row r="11" customFormat="false" ht="16.5" hidden="false" customHeight="true" outlineLevel="0" collapsed="false">
      <c r="B11" s="29" t="s">
        <v>745</v>
      </c>
      <c r="C11" s="29"/>
      <c r="D11" s="29"/>
      <c r="E11" s="29"/>
      <c r="F11" s="29"/>
      <c r="G11" s="29"/>
      <c r="H11" s="29"/>
      <c r="I11" s="29"/>
    </row>
    <row r="13" customFormat="false" ht="15" hidden="false" customHeight="false" outlineLevel="0" collapsed="false">
      <c r="B13" s="27" t="s">
        <v>232</v>
      </c>
      <c r="C13" s="28"/>
      <c r="D13" s="28"/>
      <c r="E13" s="28"/>
      <c r="F13" s="28"/>
      <c r="G13" s="28"/>
      <c r="H13" s="28"/>
      <c r="I13" s="28"/>
    </row>
    <row r="14" customFormat="false" ht="15" hidden="false" customHeight="false" outlineLevel="0" collapsed="false">
      <c r="B14" s="12" t="s">
        <v>233</v>
      </c>
      <c r="C14" s="30" t="s">
        <v>18</v>
      </c>
    </row>
    <row r="15" customFormat="false" ht="15" hidden="false" customHeight="false" outlineLevel="0" collapsed="false">
      <c r="B15" s="16" t="s">
        <v>746</v>
      </c>
      <c r="C15" s="42" t="n">
        <v>5000</v>
      </c>
    </row>
    <row r="16" customFormat="false" ht="15" hidden="false" customHeight="false" outlineLevel="0" collapsed="false">
      <c r="B16" s="16" t="s">
        <v>722</v>
      </c>
      <c r="C16" s="39" t="n">
        <v>60</v>
      </c>
    </row>
    <row r="17" customFormat="false" ht="15" hidden="false" customHeight="false" outlineLevel="0" collapsed="false">
      <c r="B17" s="16" t="s">
        <v>747</v>
      </c>
      <c r="C17" s="39" t="n">
        <v>420</v>
      </c>
    </row>
    <row r="18" customFormat="false" ht="15" hidden="false" customHeight="false" outlineLevel="0" collapsed="false">
      <c r="B18" s="16" t="s">
        <v>748</v>
      </c>
      <c r="C18" s="39" t="n">
        <v>240</v>
      </c>
    </row>
    <row r="19" customFormat="false" ht="15" hidden="false" customHeight="false" outlineLevel="0" collapsed="false">
      <c r="B19" s="16" t="s">
        <v>721</v>
      </c>
      <c r="C19" s="39" t="n">
        <v>90</v>
      </c>
    </row>
    <row r="20" customFormat="false" ht="15" hidden="false" customHeight="false" outlineLevel="0" collapsed="false">
      <c r="B20" s="16" t="s">
        <v>749</v>
      </c>
      <c r="C20" s="57" t="n">
        <v>0.7</v>
      </c>
    </row>
    <row r="21" customFormat="false" ht="15" hidden="false" customHeight="false" outlineLevel="0" collapsed="false">
      <c r="B21" s="16" t="s">
        <v>750</v>
      </c>
      <c r="C21" s="57" t="n">
        <v>0.115</v>
      </c>
    </row>
    <row r="22" customFormat="false" ht="15" hidden="false" customHeight="false" outlineLevel="0" collapsed="false">
      <c r="B22" s="16" t="s">
        <v>685</v>
      </c>
      <c r="C22" s="57" t="n">
        <v>0.25</v>
      </c>
    </row>
    <row r="23" customFormat="false" ht="15" hidden="false" customHeight="false" outlineLevel="0" collapsed="false">
      <c r="B23" s="16" t="s">
        <v>715</v>
      </c>
      <c r="C23" s="57" t="n">
        <v>0.15</v>
      </c>
    </row>
    <row r="25" customFormat="false" ht="15" hidden="false" customHeight="false" outlineLevel="0" collapsed="false">
      <c r="B25" s="43" t="s">
        <v>243</v>
      </c>
      <c r="C25" s="44"/>
      <c r="D25" s="44"/>
      <c r="E25" s="44"/>
      <c r="F25" s="44"/>
      <c r="G25" s="44"/>
      <c r="H25" s="44"/>
      <c r="I25" s="44"/>
    </row>
    <row r="26" customFormat="false" ht="15" hidden="false" customHeight="false" outlineLevel="0" collapsed="false">
      <c r="B26" s="31" t="s">
        <v>751</v>
      </c>
      <c r="C26" s="63" t="n">
        <f aca="false">$C$17-$C$16</f>
        <v>360</v>
      </c>
    </row>
    <row r="27" customFormat="false" ht="15" hidden="false" customHeight="false" outlineLevel="0" collapsed="false">
      <c r="B27" s="16" t="s">
        <v>752</v>
      </c>
      <c r="C27" s="54" t="n">
        <f aca="false">$C$18-$C$19-$C$16</f>
        <v>90</v>
      </c>
    </row>
    <row r="28" customFormat="false" ht="15" hidden="false" customHeight="false" outlineLevel="0" collapsed="false">
      <c r="B28" s="16" t="s">
        <v>753</v>
      </c>
      <c r="C28" s="54" t="n">
        <f aca="false">$C$27*(1-$C$22)</f>
        <v>67.5</v>
      </c>
    </row>
    <row r="29" customFormat="false" ht="15" hidden="false" customHeight="false" outlineLevel="0" collapsed="false">
      <c r="B29" s="31" t="s">
        <v>94</v>
      </c>
      <c r="C29" s="68" t="n">
        <f aca="false">$C$28/$C$26</f>
        <v>0.1875</v>
      </c>
    </row>
    <row r="30" customFormat="false" ht="15" hidden="false" customHeight="false" outlineLevel="0" collapsed="false">
      <c r="B30" s="16" t="s">
        <v>754</v>
      </c>
      <c r="C30" s="54" t="n">
        <f aca="false">($C$29-$C$23)*$C$26</f>
        <v>13.5</v>
      </c>
    </row>
    <row r="31" customFormat="false" ht="15" hidden="false" customHeight="false" outlineLevel="0" collapsed="false">
      <c r="B31" s="16" t="s">
        <v>755</v>
      </c>
      <c r="C31" s="54" t="n">
        <f aca="false">$C$15*$C$20*$C$21</f>
        <v>402.5</v>
      </c>
    </row>
    <row r="32" customFormat="false" ht="15" hidden="false" customHeight="false" outlineLevel="0" collapsed="false">
      <c r="B32" s="16" t="s">
        <v>756</v>
      </c>
      <c r="C32" s="46" t="n">
        <f aca="false">$C$28/$C$31</f>
        <v>0.167701863354037</v>
      </c>
    </row>
    <row r="34" customFormat="false" ht="15" hidden="false" customHeight="false" outlineLevel="0" collapsed="false">
      <c r="B34" s="43" t="s">
        <v>249</v>
      </c>
      <c r="C34" s="44"/>
      <c r="D34" s="44"/>
      <c r="E34" s="44"/>
      <c r="F34" s="44"/>
      <c r="G34" s="44"/>
      <c r="H34" s="44"/>
      <c r="I34" s="44"/>
    </row>
    <row r="35" customFormat="false" ht="43.5" hidden="false" customHeight="true" outlineLevel="0" collapsed="false">
      <c r="B35" s="47" t="s">
        <v>757</v>
      </c>
      <c r="C35" s="47"/>
      <c r="D35" s="47"/>
      <c r="E35" s="47"/>
      <c r="F35" s="47"/>
      <c r="G35" s="47"/>
      <c r="H35" s="47"/>
      <c r="I35" s="47"/>
    </row>
    <row r="36" customFormat="false" ht="16.5" hidden="false" customHeight="true" outlineLevel="0" collapsed="false">
      <c r="B36" s="48" t="s">
        <v>758</v>
      </c>
      <c r="C36" s="48"/>
      <c r="D36" s="48"/>
      <c r="E36" s="48"/>
      <c r="F36" s="48"/>
      <c r="G36" s="48"/>
      <c r="H36" s="48"/>
      <c r="I36" s="48"/>
    </row>
  </sheetData>
  <mergeCells count="7">
    <mergeCell ref="B5:I5"/>
    <mergeCell ref="B8:I8"/>
    <mergeCell ref="B9:I9"/>
    <mergeCell ref="B10:I10"/>
    <mergeCell ref="B11:I11"/>
    <mergeCell ref="B35:I35"/>
    <mergeCell ref="B36:I36"/>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25" t="s">
        <v>759</v>
      </c>
      <c r="I1" s="26" t="s">
        <v>164</v>
      </c>
    </row>
    <row r="2" customFormat="false" ht="15" hidden="false" customHeight="false" outlineLevel="0" collapsed="false">
      <c r="B2" s="38" t="s">
        <v>760</v>
      </c>
    </row>
    <row r="4" customFormat="false" ht="15" hidden="false" customHeight="false" outlineLevel="0" collapsed="false">
      <c r="B4" s="27" t="s">
        <v>225</v>
      </c>
      <c r="C4" s="28"/>
      <c r="D4" s="28"/>
      <c r="E4" s="28"/>
      <c r="F4" s="28"/>
      <c r="G4" s="28"/>
      <c r="H4" s="28"/>
      <c r="I4" s="28"/>
    </row>
    <row r="5" customFormat="false" ht="43.5" hidden="false" customHeight="true" outlineLevel="0" collapsed="false">
      <c r="B5" s="29" t="s">
        <v>761</v>
      </c>
      <c r="C5" s="29"/>
      <c r="D5" s="29"/>
      <c r="E5" s="29"/>
      <c r="F5" s="29"/>
      <c r="G5" s="29"/>
      <c r="H5" s="29"/>
      <c r="I5" s="29"/>
    </row>
    <row r="7" customFormat="false" ht="15" hidden="false" customHeight="false" outlineLevel="0" collapsed="false">
      <c r="B7" s="27" t="s">
        <v>227</v>
      </c>
      <c r="C7" s="28"/>
      <c r="D7" s="28"/>
      <c r="E7" s="28"/>
      <c r="F7" s="28"/>
      <c r="G7" s="28"/>
      <c r="H7" s="28"/>
      <c r="I7" s="28"/>
    </row>
    <row r="8" customFormat="false" ht="16.5" hidden="false" customHeight="true" outlineLevel="0" collapsed="false">
      <c r="B8" s="29" t="s">
        <v>762</v>
      </c>
      <c r="C8" s="29"/>
      <c r="D8" s="29"/>
      <c r="E8" s="29"/>
      <c r="F8" s="29"/>
      <c r="G8" s="29"/>
      <c r="H8" s="29"/>
      <c r="I8" s="29"/>
    </row>
    <row r="9" customFormat="false" ht="16.5" hidden="false" customHeight="true" outlineLevel="0" collapsed="false">
      <c r="B9" s="29" t="s">
        <v>763</v>
      </c>
      <c r="C9" s="29"/>
      <c r="D9" s="29"/>
      <c r="E9" s="29"/>
      <c r="F9" s="29"/>
      <c r="G9" s="29"/>
      <c r="H9" s="29"/>
      <c r="I9" s="29"/>
    </row>
    <row r="10" customFormat="false" ht="16.5" hidden="false" customHeight="true" outlineLevel="0" collapsed="false">
      <c r="B10" s="29" t="s">
        <v>764</v>
      </c>
      <c r="C10" s="29"/>
      <c r="D10" s="29"/>
      <c r="E10" s="29"/>
      <c r="F10" s="29"/>
      <c r="G10" s="29"/>
      <c r="H10" s="29"/>
      <c r="I10" s="29"/>
    </row>
    <row r="12" customFormat="false" ht="15" hidden="false" customHeight="false" outlineLevel="0" collapsed="false">
      <c r="B12" s="27" t="s">
        <v>232</v>
      </c>
      <c r="C12" s="28"/>
      <c r="D12" s="28"/>
      <c r="E12" s="28"/>
      <c r="F12" s="28"/>
      <c r="G12" s="28"/>
      <c r="H12" s="28"/>
      <c r="I12" s="28"/>
    </row>
    <row r="13" customFormat="false" ht="15" hidden="false" customHeight="false" outlineLevel="0" collapsed="false">
      <c r="B13" s="12" t="s">
        <v>233</v>
      </c>
      <c r="C13" s="30" t="s">
        <v>765</v>
      </c>
      <c r="D13" s="30" t="s">
        <v>766</v>
      </c>
    </row>
    <row r="14" customFormat="false" ht="15" hidden="false" customHeight="false" outlineLevel="0" collapsed="false">
      <c r="B14" s="16" t="s">
        <v>767</v>
      </c>
      <c r="C14" s="39" t="n">
        <v>18</v>
      </c>
      <c r="D14" s="39" t="n">
        <v>11</v>
      </c>
    </row>
    <row r="15" customFormat="false" ht="15" hidden="false" customHeight="false" outlineLevel="0" collapsed="false">
      <c r="B15" s="16" t="s">
        <v>768</v>
      </c>
      <c r="C15" s="39" t="n">
        <v>9</v>
      </c>
      <c r="D15" s="39" t="n">
        <v>5</v>
      </c>
    </row>
    <row r="16" customFormat="false" ht="15" hidden="false" customHeight="false" outlineLevel="0" collapsed="false">
      <c r="B16" s="16" t="s">
        <v>245</v>
      </c>
      <c r="C16" s="39" t="n">
        <v>2</v>
      </c>
      <c r="D16" s="39" t="n">
        <v>0.9</v>
      </c>
    </row>
    <row r="17" customFormat="false" ht="15" hidden="false" customHeight="false" outlineLevel="0" collapsed="false">
      <c r="B17" s="16" t="s">
        <v>769</v>
      </c>
      <c r="C17" s="42" t="n">
        <v>250</v>
      </c>
      <c r="E17" s="6" t="s">
        <v>770</v>
      </c>
    </row>
    <row r="18" customFormat="false" ht="15" hidden="false" customHeight="false" outlineLevel="0" collapsed="false">
      <c r="B18" s="16" t="s">
        <v>685</v>
      </c>
      <c r="C18" s="57" t="n">
        <v>0.25</v>
      </c>
    </row>
    <row r="19" customFormat="false" ht="15" hidden="false" customHeight="false" outlineLevel="0" collapsed="false">
      <c r="B19" s="16" t="s">
        <v>715</v>
      </c>
      <c r="C19" s="57" t="n">
        <v>0.15</v>
      </c>
    </row>
    <row r="21" customFormat="false" ht="15" hidden="false" customHeight="false" outlineLevel="0" collapsed="false">
      <c r="B21" s="43" t="s">
        <v>243</v>
      </c>
      <c r="C21" s="44"/>
      <c r="D21" s="44"/>
      <c r="E21" s="44"/>
      <c r="F21" s="44"/>
      <c r="G21" s="44"/>
      <c r="H21" s="44"/>
      <c r="I21" s="44"/>
    </row>
    <row r="22" customFormat="false" ht="15" hidden="false" customHeight="false" outlineLevel="0" collapsed="false">
      <c r="B22" s="12" t="s">
        <v>689</v>
      </c>
      <c r="C22" s="30" t="s">
        <v>765</v>
      </c>
      <c r="D22" s="30" t="s">
        <v>766</v>
      </c>
    </row>
    <row r="23" customFormat="false" ht="15" hidden="false" customHeight="false" outlineLevel="0" collapsed="false">
      <c r="B23" s="16" t="s">
        <v>771</v>
      </c>
      <c r="C23" s="45" t="n">
        <f aca="false">$C$16*SQRT($C$17)</f>
        <v>31.6227766016838</v>
      </c>
      <c r="D23" s="45" t="n">
        <f aca="false">$D$16*SQRT($C$17)</f>
        <v>14.2302494707577</v>
      </c>
    </row>
    <row r="24" customFormat="false" ht="15" hidden="false" customHeight="false" outlineLevel="0" collapsed="false">
      <c r="B24" s="16" t="s">
        <v>772</v>
      </c>
      <c r="C24" s="45" t="n">
        <f aca="false">$C$14-$C$15</f>
        <v>9</v>
      </c>
      <c r="D24" s="45" t="n">
        <f aca="false">$D$14-$D$15</f>
        <v>6</v>
      </c>
    </row>
    <row r="25" customFormat="false" ht="15" hidden="false" customHeight="false" outlineLevel="0" collapsed="false">
      <c r="B25" s="16" t="s">
        <v>773</v>
      </c>
      <c r="C25" s="45" t="n">
        <f aca="false">$C$24*(1-$C$18)</f>
        <v>6.75</v>
      </c>
      <c r="D25" s="45" t="n">
        <f aca="false">$D$24*(1-$C$18)</f>
        <v>4.5</v>
      </c>
    </row>
    <row r="26" customFormat="false" ht="15" hidden="false" customHeight="false" outlineLevel="0" collapsed="false">
      <c r="B26" s="31" t="s">
        <v>94</v>
      </c>
      <c r="C26" s="68" t="n">
        <f aca="false">$C$25/$C$23</f>
        <v>0.213453742061366</v>
      </c>
      <c r="D26" s="68" t="n">
        <f aca="false">$D$25/$D$23</f>
        <v>0.316227766016838</v>
      </c>
    </row>
    <row r="27" customFormat="false" ht="15" hidden="false" customHeight="false" outlineLevel="0" collapsed="false">
      <c r="B27" s="16" t="s">
        <v>774</v>
      </c>
      <c r="C27" s="45" t="n">
        <f aca="false">($C$26-$C$19)*$C$23</f>
        <v>2.00658350974743</v>
      </c>
      <c r="D27" s="45" t="n">
        <f aca="false">($D$26-$C$19)*$D$23</f>
        <v>2.36546257938634</v>
      </c>
    </row>
    <row r="29" customFormat="false" ht="15" hidden="false" customHeight="false" outlineLevel="0" collapsed="false">
      <c r="B29" s="43" t="s">
        <v>249</v>
      </c>
      <c r="C29" s="44"/>
      <c r="D29" s="44"/>
      <c r="E29" s="44"/>
      <c r="F29" s="44"/>
      <c r="G29" s="44"/>
      <c r="H29" s="44"/>
      <c r="I29" s="44"/>
    </row>
    <row r="30" customFormat="false" ht="30" hidden="false" customHeight="true" outlineLevel="0" collapsed="false">
      <c r="B30" s="47" t="s">
        <v>775</v>
      </c>
      <c r="C30" s="47"/>
      <c r="D30" s="47"/>
      <c r="E30" s="47"/>
      <c r="F30" s="47"/>
      <c r="G30" s="47"/>
      <c r="H30" s="47"/>
      <c r="I30" s="47"/>
    </row>
    <row r="31" customFormat="false" ht="16.5" hidden="false" customHeight="true" outlineLevel="0" collapsed="false">
      <c r="B31" s="48" t="s">
        <v>776</v>
      </c>
      <c r="C31" s="48"/>
      <c r="D31" s="48"/>
      <c r="E31" s="48"/>
      <c r="F31" s="48"/>
      <c r="G31" s="48"/>
      <c r="H31" s="48"/>
      <c r="I31" s="48"/>
    </row>
  </sheetData>
  <mergeCells count="6">
    <mergeCell ref="B5:I5"/>
    <mergeCell ref="B8:I8"/>
    <mergeCell ref="B9:I9"/>
    <mergeCell ref="B10:I10"/>
    <mergeCell ref="B30:I30"/>
    <mergeCell ref="B31:I31"/>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25" t="s">
        <v>777</v>
      </c>
      <c r="I1" s="26" t="s">
        <v>164</v>
      </c>
    </row>
    <row r="2" customFormat="false" ht="15" hidden="false" customHeight="false" outlineLevel="0" collapsed="false">
      <c r="B2" s="38" t="s">
        <v>778</v>
      </c>
    </row>
    <row r="4" customFormat="false" ht="15" hidden="false" customHeight="false" outlineLevel="0" collapsed="false">
      <c r="B4" s="27" t="s">
        <v>225</v>
      </c>
      <c r="C4" s="28"/>
      <c r="D4" s="28"/>
      <c r="E4" s="28"/>
      <c r="F4" s="28"/>
      <c r="G4" s="28"/>
      <c r="H4" s="28"/>
      <c r="I4" s="28"/>
    </row>
    <row r="5" customFormat="false" ht="57" hidden="false" customHeight="true" outlineLevel="0" collapsed="false">
      <c r="B5" s="29" t="s">
        <v>779</v>
      </c>
      <c r="C5" s="29"/>
      <c r="D5" s="29"/>
      <c r="E5" s="29"/>
      <c r="F5" s="29"/>
      <c r="G5" s="29"/>
      <c r="H5" s="29"/>
      <c r="I5" s="29"/>
    </row>
    <row r="7" customFormat="false" ht="15" hidden="false" customHeight="false" outlineLevel="0" collapsed="false">
      <c r="B7" s="27" t="s">
        <v>227</v>
      </c>
      <c r="C7" s="28"/>
      <c r="D7" s="28"/>
      <c r="E7" s="28"/>
      <c r="F7" s="28"/>
      <c r="G7" s="28"/>
      <c r="H7" s="28"/>
      <c r="I7" s="28"/>
    </row>
    <row r="8" customFormat="false" ht="16.5" hidden="false" customHeight="true" outlineLevel="0" collapsed="false">
      <c r="B8" s="29" t="s">
        <v>780</v>
      </c>
      <c r="C8" s="29"/>
      <c r="D8" s="29"/>
      <c r="E8" s="29"/>
      <c r="F8" s="29"/>
      <c r="G8" s="29"/>
      <c r="H8" s="29"/>
      <c r="I8" s="29"/>
    </row>
    <row r="9" customFormat="false" ht="16.5" hidden="false" customHeight="true" outlineLevel="0" collapsed="false">
      <c r="B9" s="29" t="s">
        <v>781</v>
      </c>
      <c r="C9" s="29"/>
      <c r="D9" s="29"/>
      <c r="E9" s="29"/>
      <c r="F9" s="29"/>
      <c r="G9" s="29"/>
      <c r="H9" s="29"/>
      <c r="I9" s="29"/>
    </row>
    <row r="10" customFormat="false" ht="16.5" hidden="false" customHeight="true" outlineLevel="0" collapsed="false">
      <c r="B10" s="29" t="s">
        <v>782</v>
      </c>
      <c r="C10" s="29"/>
      <c r="D10" s="29"/>
      <c r="E10" s="29"/>
      <c r="F10" s="29"/>
      <c r="G10" s="29"/>
      <c r="H10" s="29"/>
      <c r="I10" s="29"/>
    </row>
    <row r="12" customFormat="false" ht="15" hidden="false" customHeight="false" outlineLevel="0" collapsed="false">
      <c r="B12" s="27" t="s">
        <v>232</v>
      </c>
      <c r="C12" s="28"/>
      <c r="D12" s="28"/>
      <c r="E12" s="28"/>
      <c r="F12" s="28"/>
      <c r="G12" s="28"/>
      <c r="H12" s="28"/>
      <c r="I12" s="28"/>
    </row>
    <row r="13" customFormat="false" ht="15" hidden="false" customHeight="false" outlineLevel="0" collapsed="false">
      <c r="B13" s="12" t="s">
        <v>233</v>
      </c>
      <c r="C13" s="30" t="s">
        <v>783</v>
      </c>
      <c r="D13" s="30" t="s">
        <v>784</v>
      </c>
    </row>
    <row r="14" customFormat="false" ht="15" hidden="false" customHeight="false" outlineLevel="0" collapsed="false">
      <c r="B14" s="16" t="s">
        <v>675</v>
      </c>
      <c r="C14" s="39" t="n">
        <v>150</v>
      </c>
      <c r="D14" s="39" t="n">
        <v>150</v>
      </c>
    </row>
    <row r="15" customFormat="false" ht="15" hidden="false" customHeight="false" outlineLevel="0" collapsed="false">
      <c r="B15" s="16" t="s">
        <v>676</v>
      </c>
      <c r="C15" s="40" t="n">
        <v>0.089</v>
      </c>
      <c r="D15" s="40" t="n">
        <v>0.089</v>
      </c>
    </row>
    <row r="16" customFormat="false" ht="15" hidden="false" customHeight="false" outlineLevel="0" collapsed="false">
      <c r="B16" s="16" t="s">
        <v>677</v>
      </c>
      <c r="C16" s="40" t="n">
        <v>0.07</v>
      </c>
      <c r="D16" s="40" t="n">
        <v>0.07</v>
      </c>
    </row>
    <row r="17" customFormat="false" ht="15" hidden="false" customHeight="false" outlineLevel="0" collapsed="false">
      <c r="B17" s="16" t="s">
        <v>678</v>
      </c>
      <c r="C17" s="40" t="n">
        <v>0.005</v>
      </c>
      <c r="D17" s="40" t="n">
        <v>0.005</v>
      </c>
    </row>
    <row r="18" customFormat="false" ht="15" hidden="false" customHeight="false" outlineLevel="0" collapsed="false">
      <c r="B18" s="16" t="s">
        <v>679</v>
      </c>
      <c r="C18" s="40" t="n">
        <v>0.01</v>
      </c>
      <c r="D18" s="40" t="n">
        <v>0.01</v>
      </c>
    </row>
    <row r="19" customFormat="false" ht="15" hidden="false" customHeight="false" outlineLevel="0" collapsed="false">
      <c r="B19" s="16" t="s">
        <v>680</v>
      </c>
      <c r="C19" s="57" t="n">
        <v>0.45</v>
      </c>
      <c r="D19" s="57" t="n">
        <v>0.45</v>
      </c>
    </row>
    <row r="20" customFormat="false" ht="15" hidden="false" customHeight="false" outlineLevel="0" collapsed="false">
      <c r="B20" s="16" t="s">
        <v>681</v>
      </c>
      <c r="C20" s="57" t="n">
        <v>0.09</v>
      </c>
      <c r="D20" s="57" t="n">
        <v>0.09</v>
      </c>
    </row>
    <row r="21" customFormat="false" ht="15" hidden="false" customHeight="false" outlineLevel="0" collapsed="false">
      <c r="B21" s="16" t="s">
        <v>682</v>
      </c>
      <c r="C21" s="39" t="n">
        <v>0</v>
      </c>
      <c r="D21" s="39" t="n">
        <v>2</v>
      </c>
    </row>
    <row r="22" customFormat="false" ht="15" hidden="false" customHeight="false" outlineLevel="0" collapsed="false">
      <c r="B22" s="16" t="s">
        <v>683</v>
      </c>
      <c r="C22" s="39" t="n">
        <v>0</v>
      </c>
      <c r="D22" s="39" t="n">
        <v>0.4</v>
      </c>
    </row>
    <row r="23" customFormat="false" ht="15" hidden="false" customHeight="false" outlineLevel="0" collapsed="false">
      <c r="B23" s="16" t="s">
        <v>684</v>
      </c>
      <c r="C23" s="39" t="n">
        <v>0</v>
      </c>
      <c r="D23" s="39" t="n">
        <v>0.5</v>
      </c>
    </row>
    <row r="24" customFormat="false" ht="15" hidden="false" customHeight="false" outlineLevel="0" collapsed="false">
      <c r="B24" s="16" t="s">
        <v>685</v>
      </c>
      <c r="C24" s="57" t="n">
        <v>0.25</v>
      </c>
      <c r="E24" s="6" t="s">
        <v>686</v>
      </c>
    </row>
    <row r="25" customFormat="false" ht="15" hidden="false" customHeight="false" outlineLevel="0" collapsed="false">
      <c r="B25" s="16" t="s">
        <v>687</v>
      </c>
      <c r="C25" s="57" t="n">
        <v>0.15</v>
      </c>
      <c r="E25" s="6" t="s">
        <v>688</v>
      </c>
    </row>
    <row r="27" customFormat="false" ht="15" hidden="false" customHeight="false" outlineLevel="0" collapsed="false">
      <c r="B27" s="43" t="s">
        <v>243</v>
      </c>
      <c r="C27" s="44"/>
      <c r="D27" s="44"/>
      <c r="E27" s="44"/>
      <c r="F27" s="44"/>
      <c r="G27" s="44"/>
      <c r="H27" s="44"/>
      <c r="I27" s="44"/>
    </row>
    <row r="28" customFormat="false" ht="15" hidden="false" customHeight="false" outlineLevel="0" collapsed="false">
      <c r="B28" s="12" t="s">
        <v>689</v>
      </c>
      <c r="C28" s="30" t="s">
        <v>783</v>
      </c>
      <c r="D28" s="30" t="s">
        <v>784</v>
      </c>
    </row>
    <row r="29" customFormat="false" ht="15" hidden="false" customHeight="false" outlineLevel="0" collapsed="false">
      <c r="B29" s="16" t="s">
        <v>690</v>
      </c>
      <c r="C29" s="45" t="n">
        <f aca="false">$C$14*$C$20</f>
        <v>13.5</v>
      </c>
      <c r="D29" s="45" t="n">
        <f aca="false">$D$14*$D$20</f>
        <v>13.5</v>
      </c>
    </row>
    <row r="30" customFormat="false" ht="15" hidden="false" customHeight="false" outlineLevel="0" collapsed="false">
      <c r="B30" s="16" t="s">
        <v>691</v>
      </c>
      <c r="C30" s="45" t="n">
        <f aca="false">$C$14*$C$15+$C$21</f>
        <v>13.35</v>
      </c>
      <c r="D30" s="45" t="n">
        <f aca="false">$D$14*$D$15+$D$21</f>
        <v>15.35</v>
      </c>
    </row>
    <row r="31" customFormat="false" ht="15" hidden="false" customHeight="false" outlineLevel="0" collapsed="false">
      <c r="B31" s="16" t="s">
        <v>692</v>
      </c>
      <c r="C31" s="45" t="n">
        <f aca="false">($C$14-$C$29)*$C$16</f>
        <v>9.555</v>
      </c>
      <c r="D31" s="45" t="n">
        <f aca="false">($D$14-$D$29)*$D$16</f>
        <v>9.555</v>
      </c>
    </row>
    <row r="32" customFormat="false" ht="15" hidden="false" customHeight="false" outlineLevel="0" collapsed="false">
      <c r="B32" s="16" t="s">
        <v>693</v>
      </c>
      <c r="C32" s="45" t="n">
        <f aca="false">$C$14*$C$17+$C$22</f>
        <v>0.75</v>
      </c>
      <c r="D32" s="45" t="n">
        <f aca="false">$D$14*$D$17+$D$22</f>
        <v>1.15</v>
      </c>
    </row>
    <row r="33" customFormat="false" ht="15" hidden="false" customHeight="false" outlineLevel="0" collapsed="false">
      <c r="B33" s="16" t="s">
        <v>694</v>
      </c>
      <c r="C33" s="45" t="n">
        <f aca="false">$C$14*$C$18*$C$19</f>
        <v>0.675</v>
      </c>
      <c r="D33" s="45" t="n">
        <f aca="false">$D$14*$D$18*$D$19</f>
        <v>0.675</v>
      </c>
    </row>
    <row r="34" customFormat="false" ht="15" hidden="false" customHeight="false" outlineLevel="0" collapsed="false">
      <c r="B34" s="31" t="s">
        <v>695</v>
      </c>
      <c r="C34" s="49" t="n">
        <f aca="false">$C$30-$C$31-$C$32-$C$33</f>
        <v>2.37</v>
      </c>
      <c r="D34" s="49" t="n">
        <f aca="false">$D$30-$D$31-$D$32-$D$33</f>
        <v>3.97</v>
      </c>
    </row>
    <row r="35" customFormat="false" ht="15" hidden="false" customHeight="false" outlineLevel="0" collapsed="false">
      <c r="B35" s="16" t="s">
        <v>696</v>
      </c>
      <c r="C35" s="45" t="n">
        <f aca="false">$C$34*$C$24</f>
        <v>0.5925</v>
      </c>
      <c r="D35" s="45" t="n">
        <f aca="false">$D$34*$C$24</f>
        <v>0.9925</v>
      </c>
    </row>
    <row r="36" customFormat="false" ht="15" hidden="false" customHeight="false" outlineLevel="0" collapsed="false">
      <c r="B36" s="31" t="s">
        <v>697</v>
      </c>
      <c r="C36" s="49" t="n">
        <f aca="false">$C$34-$C$35</f>
        <v>1.7775</v>
      </c>
      <c r="D36" s="49" t="n">
        <f aca="false">$D$34-$D$35</f>
        <v>2.9775</v>
      </c>
    </row>
    <row r="37" customFormat="false" ht="15" hidden="false" customHeight="false" outlineLevel="0" collapsed="false">
      <c r="B37" s="16" t="s">
        <v>698</v>
      </c>
      <c r="C37" s="45" t="n">
        <f aca="false">$C$29+$C$23</f>
        <v>13.5</v>
      </c>
      <c r="D37" s="45" t="n">
        <f aca="false">$D$29+$D$23</f>
        <v>14</v>
      </c>
    </row>
    <row r="38" customFormat="false" ht="15" hidden="false" customHeight="false" outlineLevel="0" collapsed="false">
      <c r="B38" s="31" t="s">
        <v>94</v>
      </c>
      <c r="C38" s="68" t="n">
        <f aca="false">IF($C$37=0,0,$C$36/$C$37)</f>
        <v>0.131666666666667</v>
      </c>
      <c r="D38" s="68" t="n">
        <f aca="false">IF($D$37=0,0,$D$36/$D$37)</f>
        <v>0.212678571428571</v>
      </c>
    </row>
    <row r="39" customFormat="false" ht="15" hidden="false" customHeight="false" outlineLevel="0" collapsed="false">
      <c r="B39" s="16" t="s">
        <v>699</v>
      </c>
      <c r="C39" s="45" t="n">
        <f aca="false">($C$38-$C$25)*$C$37</f>
        <v>-0.247500000000001</v>
      </c>
      <c r="D39" s="45" t="n">
        <f aca="false">($D$38-$C$25)*$D$37</f>
        <v>0.877499999999998</v>
      </c>
    </row>
    <row r="40" customFormat="false" ht="15" hidden="false" customHeight="false" outlineLevel="0" collapsed="false">
      <c r="B40" s="16" t="s">
        <v>700</v>
      </c>
      <c r="C40" s="56" t="str">
        <f aca="false">IF($C$38&gt;=$C$25,"Accept","Reject / re-price")</f>
        <v>Reject / re-price</v>
      </c>
      <c r="D40" s="56" t="str">
        <f aca="false">IF($D$38&gt;=$C$25,"Accept","Reject / re-price")</f>
        <v>Accept</v>
      </c>
    </row>
    <row r="42" customFormat="false" ht="15" hidden="false" customHeight="false" outlineLevel="0" collapsed="false">
      <c r="B42" s="43" t="s">
        <v>249</v>
      </c>
      <c r="C42" s="44"/>
      <c r="D42" s="44"/>
      <c r="E42" s="44"/>
      <c r="F42" s="44"/>
      <c r="G42" s="44"/>
      <c r="H42" s="44"/>
      <c r="I42" s="44"/>
    </row>
    <row r="43" customFormat="false" ht="30" hidden="false" customHeight="true" outlineLevel="0" collapsed="false">
      <c r="B43" s="47" t="s">
        <v>785</v>
      </c>
      <c r="C43" s="47"/>
      <c r="D43" s="47"/>
      <c r="E43" s="47"/>
      <c r="F43" s="47"/>
      <c r="G43" s="47"/>
      <c r="H43" s="47"/>
      <c r="I43" s="47"/>
    </row>
    <row r="44" customFormat="false" ht="16.5" hidden="false" customHeight="true" outlineLevel="0" collapsed="false">
      <c r="B44" s="48" t="s">
        <v>786</v>
      </c>
      <c r="C44" s="48"/>
      <c r="D44" s="48"/>
      <c r="E44" s="48"/>
      <c r="F44" s="48"/>
      <c r="G44" s="48"/>
      <c r="H44" s="48"/>
      <c r="I44" s="48"/>
    </row>
  </sheetData>
  <mergeCells count="6">
    <mergeCell ref="B5:I5"/>
    <mergeCell ref="B8:I8"/>
    <mergeCell ref="B9:I9"/>
    <mergeCell ref="B10:I10"/>
    <mergeCell ref="B43:I43"/>
    <mergeCell ref="B44:I44"/>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25" t="s">
        <v>787</v>
      </c>
      <c r="I1" s="26" t="s">
        <v>164</v>
      </c>
    </row>
    <row r="2" customFormat="false" ht="15" hidden="false" customHeight="false" outlineLevel="0" collapsed="false">
      <c r="B2" s="38" t="s">
        <v>788</v>
      </c>
    </row>
    <row r="4" customFormat="false" ht="15" hidden="false" customHeight="false" outlineLevel="0" collapsed="false">
      <c r="B4" s="27" t="s">
        <v>225</v>
      </c>
      <c r="C4" s="28"/>
      <c r="D4" s="28"/>
      <c r="E4" s="28"/>
      <c r="F4" s="28"/>
      <c r="G4" s="28"/>
      <c r="H4" s="28"/>
      <c r="I4" s="28"/>
    </row>
    <row r="5" customFormat="false" ht="30" hidden="false" customHeight="true" outlineLevel="0" collapsed="false">
      <c r="B5" s="29" t="s">
        <v>789</v>
      </c>
      <c r="C5" s="29"/>
      <c r="D5" s="29"/>
      <c r="E5" s="29"/>
      <c r="F5" s="29"/>
      <c r="G5" s="29"/>
      <c r="H5" s="29"/>
      <c r="I5" s="29"/>
    </row>
    <row r="7" customFormat="false" ht="15" hidden="false" customHeight="false" outlineLevel="0" collapsed="false">
      <c r="B7" s="27" t="s">
        <v>227</v>
      </c>
      <c r="C7" s="28"/>
      <c r="D7" s="28"/>
      <c r="E7" s="28"/>
      <c r="F7" s="28"/>
      <c r="G7" s="28"/>
      <c r="H7" s="28"/>
      <c r="I7" s="28"/>
    </row>
    <row r="8" customFormat="false" ht="16.5" hidden="false" customHeight="true" outlineLevel="0" collapsed="false">
      <c r="B8" s="29" t="s">
        <v>790</v>
      </c>
      <c r="C8" s="29"/>
      <c r="D8" s="29"/>
      <c r="E8" s="29"/>
      <c r="F8" s="29"/>
      <c r="G8" s="29"/>
      <c r="H8" s="29"/>
      <c r="I8" s="29"/>
    </row>
    <row r="9" customFormat="false" ht="16.5" hidden="false" customHeight="true" outlineLevel="0" collapsed="false">
      <c r="B9" s="29" t="s">
        <v>791</v>
      </c>
      <c r="C9" s="29"/>
      <c r="D9" s="29"/>
      <c r="E9" s="29"/>
      <c r="F9" s="29"/>
      <c r="G9" s="29"/>
      <c r="H9" s="29"/>
      <c r="I9" s="29"/>
    </row>
    <row r="10" customFormat="false" ht="16.5" hidden="false" customHeight="true" outlineLevel="0" collapsed="false">
      <c r="B10" s="29" t="s">
        <v>792</v>
      </c>
      <c r="C10" s="29"/>
      <c r="D10" s="29"/>
      <c r="E10" s="29"/>
      <c r="F10" s="29"/>
      <c r="G10" s="29"/>
      <c r="H10" s="29"/>
      <c r="I10" s="29"/>
    </row>
    <row r="11" customFormat="false" ht="16.5" hidden="false" customHeight="true" outlineLevel="0" collapsed="false">
      <c r="B11" s="29" t="s">
        <v>793</v>
      </c>
      <c r="C11" s="29"/>
      <c r="D11" s="29"/>
      <c r="E11" s="29"/>
      <c r="F11" s="29"/>
      <c r="G11" s="29"/>
      <c r="H11" s="29"/>
      <c r="I11" s="29"/>
    </row>
    <row r="13" customFormat="false" ht="15" hidden="false" customHeight="false" outlineLevel="0" collapsed="false">
      <c r="B13" s="27" t="s">
        <v>232</v>
      </c>
      <c r="C13" s="28"/>
      <c r="D13" s="28"/>
      <c r="E13" s="28"/>
      <c r="F13" s="28"/>
      <c r="G13" s="28"/>
      <c r="H13" s="28"/>
      <c r="I13" s="28"/>
    </row>
    <row r="14" customFormat="false" ht="15" hidden="false" customHeight="false" outlineLevel="0" collapsed="false">
      <c r="B14" s="12" t="s">
        <v>233</v>
      </c>
      <c r="C14" s="30" t="s">
        <v>18</v>
      </c>
    </row>
    <row r="15" customFormat="false" ht="15" hidden="false" customHeight="false" outlineLevel="0" collapsed="false">
      <c r="B15" s="16" t="s">
        <v>794</v>
      </c>
      <c r="C15" s="42" t="n">
        <v>1000</v>
      </c>
    </row>
    <row r="16" customFormat="false" ht="15" hidden="false" customHeight="false" outlineLevel="0" collapsed="false">
      <c r="B16" s="16" t="s">
        <v>715</v>
      </c>
      <c r="C16" s="57" t="n">
        <v>0.15</v>
      </c>
    </row>
    <row r="18" customFormat="false" ht="15" hidden="false" customHeight="false" outlineLevel="0" collapsed="false">
      <c r="B18" s="12" t="s">
        <v>795</v>
      </c>
      <c r="C18" s="30" t="s">
        <v>796</v>
      </c>
      <c r="D18" s="30" t="s">
        <v>797</v>
      </c>
    </row>
    <row r="19" customFormat="false" ht="15" hidden="false" customHeight="false" outlineLevel="0" collapsed="false">
      <c r="B19" s="16" t="s">
        <v>798</v>
      </c>
      <c r="C19" s="71" t="n">
        <v>400</v>
      </c>
      <c r="D19" s="53" t="n">
        <v>70</v>
      </c>
    </row>
    <row r="20" customFormat="false" ht="15" hidden="false" customHeight="false" outlineLevel="0" collapsed="false">
      <c r="B20" s="16" t="s">
        <v>799</v>
      </c>
      <c r="C20" s="71" t="n">
        <v>600</v>
      </c>
      <c r="D20" s="53" t="n">
        <v>85</v>
      </c>
    </row>
    <row r="21" customFormat="false" ht="15" hidden="false" customHeight="false" outlineLevel="0" collapsed="false">
      <c r="B21" s="16" t="s">
        <v>800</v>
      </c>
      <c r="C21" s="71" t="n">
        <v>300</v>
      </c>
      <c r="D21" s="53" t="n">
        <v>50</v>
      </c>
    </row>
    <row r="23" customFormat="false" ht="15" hidden="false" customHeight="false" outlineLevel="0" collapsed="false">
      <c r="B23" s="43" t="s">
        <v>243</v>
      </c>
      <c r="C23" s="44"/>
      <c r="D23" s="44"/>
      <c r="E23" s="44"/>
      <c r="F23" s="44"/>
      <c r="G23" s="44"/>
      <c r="H23" s="44"/>
      <c r="I23" s="44"/>
    </row>
    <row r="24" customFormat="false" ht="15" hidden="false" customHeight="false" outlineLevel="0" collapsed="false">
      <c r="B24" s="16" t="s">
        <v>801</v>
      </c>
      <c r="C24" s="66" t="n">
        <f aca="false">SUM($C$19:$C$21)</f>
        <v>1300</v>
      </c>
    </row>
    <row r="25" customFormat="false" ht="15" hidden="false" customHeight="false" outlineLevel="0" collapsed="false">
      <c r="B25" s="16" t="s">
        <v>802</v>
      </c>
      <c r="C25" s="58" t="n">
        <f aca="false">$C$15/$C$24</f>
        <v>0.769230769230769</v>
      </c>
    </row>
    <row r="26" customFormat="false" ht="15" hidden="false" customHeight="false" outlineLevel="0" collapsed="false">
      <c r="B26" s="16" t="s">
        <v>803</v>
      </c>
      <c r="C26" s="46" t="n">
        <f aca="false">SUM($D$19:$D$21)/$C$15</f>
        <v>0.205</v>
      </c>
    </row>
    <row r="28" customFormat="false" ht="15" hidden="false" customHeight="false" outlineLevel="0" collapsed="false">
      <c r="B28" s="12" t="s">
        <v>795</v>
      </c>
      <c r="C28" s="30" t="s">
        <v>804</v>
      </c>
      <c r="D28" s="30" t="s">
        <v>805</v>
      </c>
      <c r="E28" s="30" t="s">
        <v>806</v>
      </c>
      <c r="F28" s="30" t="s">
        <v>807</v>
      </c>
      <c r="G28" s="30" t="s">
        <v>808</v>
      </c>
    </row>
    <row r="29" customFormat="false" ht="15" hidden="false" customHeight="false" outlineLevel="0" collapsed="false">
      <c r="B29" s="16" t="str">
        <f aca="false">B19</f>
        <v>Retail Banking</v>
      </c>
      <c r="C29" s="46" t="n">
        <f aca="false">$D$19/$C$19</f>
        <v>0.175</v>
      </c>
      <c r="D29" s="54" t="n">
        <f aca="false">$C$19*$C$25</f>
        <v>307.692307692308</v>
      </c>
      <c r="E29" s="46" t="n">
        <f aca="false">$D$19/$D$29</f>
        <v>0.2275</v>
      </c>
      <c r="F29" s="46" t="n">
        <f aca="false">$C$16</f>
        <v>0.15</v>
      </c>
      <c r="G29" s="56" t="str">
        <f aca="false">IF(AND($C$29&lt;$C$16,$E$29&gt;=$C$16),"Yes — crosses hurdle","No")</f>
        <v>No</v>
      </c>
    </row>
    <row r="30" customFormat="false" ht="15" hidden="false" customHeight="false" outlineLevel="0" collapsed="false">
      <c r="B30" s="16" t="str">
        <f aca="false">B20</f>
        <v>Corporate Banking</v>
      </c>
      <c r="C30" s="46" t="n">
        <f aca="false">$D$20/$C$20</f>
        <v>0.141666666666667</v>
      </c>
      <c r="D30" s="54" t="n">
        <f aca="false">$C$20*$C$25</f>
        <v>461.538461538462</v>
      </c>
      <c r="E30" s="46" t="n">
        <f aca="false">$D$20/$D$30</f>
        <v>0.184166666666667</v>
      </c>
      <c r="F30" s="46" t="n">
        <f aca="false">$C$16</f>
        <v>0.15</v>
      </c>
      <c r="G30" s="56" t="str">
        <f aca="false">IF(AND($C$30&lt;$C$16,$E$30&gt;=$C$16),"Yes — crosses hurdle","No")</f>
        <v>Yes — crosses hurdle</v>
      </c>
    </row>
    <row r="31" customFormat="false" ht="15" hidden="false" customHeight="false" outlineLevel="0" collapsed="false">
      <c r="B31" s="16" t="str">
        <f aca="false">B21</f>
        <v>Treasury</v>
      </c>
      <c r="C31" s="46" t="n">
        <f aca="false">$D$21/$C$21</f>
        <v>0.166666666666667</v>
      </c>
      <c r="D31" s="54" t="n">
        <f aca="false">$C$21*$C$25</f>
        <v>230.769230769231</v>
      </c>
      <c r="E31" s="46" t="n">
        <f aca="false">$D$21/$D$31</f>
        <v>0.216666666666667</v>
      </c>
      <c r="F31" s="46" t="n">
        <f aca="false">$C$16</f>
        <v>0.15</v>
      </c>
      <c r="G31" s="56" t="str">
        <f aca="false">IF(AND($C$31&lt;$C$16,$E$31&gt;=$C$16),"Yes — crosses hurdle","No")</f>
        <v>No</v>
      </c>
    </row>
    <row r="50" customFormat="false" ht="15" hidden="false" customHeight="false" outlineLevel="0" collapsed="false">
      <c r="B50" s="43" t="s">
        <v>249</v>
      </c>
      <c r="C50" s="44"/>
      <c r="D50" s="44"/>
      <c r="E50" s="44"/>
      <c r="F50" s="44"/>
      <c r="G50" s="44"/>
      <c r="H50" s="44"/>
      <c r="I50" s="44"/>
    </row>
    <row r="51" customFormat="false" ht="30" hidden="false" customHeight="true" outlineLevel="0" collapsed="false">
      <c r="B51" s="47" t="s">
        <v>809</v>
      </c>
      <c r="C51" s="47"/>
      <c r="D51" s="47"/>
      <c r="E51" s="47"/>
      <c r="F51" s="47"/>
      <c r="G51" s="47"/>
      <c r="H51" s="47"/>
      <c r="I51" s="47"/>
    </row>
    <row r="52" customFormat="false" ht="30" hidden="false" customHeight="true" outlineLevel="0" collapsed="false">
      <c r="B52" s="47" t="s">
        <v>810</v>
      </c>
      <c r="C52" s="47"/>
      <c r="D52" s="47"/>
      <c r="E52" s="47"/>
      <c r="F52" s="47"/>
      <c r="G52" s="47"/>
      <c r="H52" s="47"/>
      <c r="I52" s="47"/>
    </row>
    <row r="53" customFormat="false" ht="16.5" hidden="false" customHeight="true" outlineLevel="0" collapsed="false">
      <c r="B53" s="48" t="s">
        <v>811</v>
      </c>
      <c r="C53" s="48"/>
      <c r="D53" s="48"/>
      <c r="E53" s="48"/>
      <c r="F53" s="48"/>
      <c r="G53" s="48"/>
      <c r="H53" s="48"/>
      <c r="I53" s="48"/>
    </row>
  </sheetData>
  <mergeCells count="8">
    <mergeCell ref="B5:I5"/>
    <mergeCell ref="B8:I8"/>
    <mergeCell ref="B9:I9"/>
    <mergeCell ref="B10:I10"/>
    <mergeCell ref="B11:I11"/>
    <mergeCell ref="B51:I51"/>
    <mergeCell ref="B52:I52"/>
    <mergeCell ref="B53:I53"/>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25" t="s">
        <v>812</v>
      </c>
      <c r="I1" s="26" t="s">
        <v>164</v>
      </c>
    </row>
    <row r="2" customFormat="false" ht="15" hidden="false" customHeight="false" outlineLevel="0" collapsed="false">
      <c r="B2" s="38" t="s">
        <v>813</v>
      </c>
    </row>
    <row r="4" customFormat="false" ht="15" hidden="false" customHeight="false" outlineLevel="0" collapsed="false">
      <c r="B4" s="27" t="s">
        <v>225</v>
      </c>
      <c r="C4" s="28"/>
      <c r="D4" s="28"/>
      <c r="E4" s="28"/>
      <c r="F4" s="28"/>
      <c r="G4" s="28"/>
      <c r="H4" s="28"/>
      <c r="I4" s="28"/>
    </row>
    <row r="5" customFormat="false" ht="57" hidden="false" customHeight="true" outlineLevel="0" collapsed="false">
      <c r="B5" s="29" t="s">
        <v>814</v>
      </c>
      <c r="C5" s="29"/>
      <c r="D5" s="29"/>
      <c r="E5" s="29"/>
      <c r="F5" s="29"/>
      <c r="G5" s="29"/>
      <c r="H5" s="29"/>
      <c r="I5" s="29"/>
    </row>
    <row r="7" customFormat="false" ht="15" hidden="false" customHeight="false" outlineLevel="0" collapsed="false">
      <c r="B7" s="27" t="s">
        <v>227</v>
      </c>
      <c r="C7" s="28"/>
      <c r="D7" s="28"/>
      <c r="E7" s="28"/>
      <c r="F7" s="28"/>
      <c r="G7" s="28"/>
      <c r="H7" s="28"/>
      <c r="I7" s="28"/>
    </row>
    <row r="8" customFormat="false" ht="16.5" hidden="false" customHeight="true" outlineLevel="0" collapsed="false">
      <c r="B8" s="29" t="s">
        <v>815</v>
      </c>
      <c r="C8" s="29"/>
      <c r="D8" s="29"/>
      <c r="E8" s="29"/>
      <c r="F8" s="29"/>
      <c r="G8" s="29"/>
      <c r="H8" s="29"/>
      <c r="I8" s="29"/>
    </row>
    <row r="9" customFormat="false" ht="16.5" hidden="false" customHeight="true" outlineLevel="0" collapsed="false">
      <c r="B9" s="29" t="s">
        <v>816</v>
      </c>
      <c r="C9" s="29"/>
      <c r="D9" s="29"/>
      <c r="E9" s="29"/>
      <c r="F9" s="29"/>
      <c r="G9" s="29"/>
      <c r="H9" s="29"/>
      <c r="I9" s="29"/>
    </row>
    <row r="10" customFormat="false" ht="16.5" hidden="false" customHeight="true" outlineLevel="0" collapsed="false">
      <c r="B10" s="29" t="s">
        <v>817</v>
      </c>
      <c r="C10" s="29"/>
      <c r="D10" s="29"/>
      <c r="E10" s="29"/>
      <c r="F10" s="29"/>
      <c r="G10" s="29"/>
      <c r="H10" s="29"/>
      <c r="I10" s="29"/>
    </row>
    <row r="12" customFormat="false" ht="15" hidden="false" customHeight="false" outlineLevel="0" collapsed="false">
      <c r="B12" s="27" t="s">
        <v>232</v>
      </c>
      <c r="C12" s="28"/>
      <c r="D12" s="28"/>
      <c r="E12" s="28"/>
      <c r="F12" s="28"/>
      <c r="G12" s="28"/>
      <c r="H12" s="28"/>
      <c r="I12" s="28"/>
    </row>
    <row r="13" customFormat="false" ht="15" hidden="false" customHeight="false" outlineLevel="0" collapsed="false">
      <c r="B13" s="12" t="s">
        <v>233</v>
      </c>
      <c r="C13" s="30" t="s">
        <v>818</v>
      </c>
      <c r="D13" s="30" t="s">
        <v>819</v>
      </c>
    </row>
    <row r="14" customFormat="false" ht="15" hidden="false" customHeight="false" outlineLevel="0" collapsed="false">
      <c r="B14" s="16" t="s">
        <v>675</v>
      </c>
      <c r="C14" s="39" t="n">
        <v>80</v>
      </c>
      <c r="D14" s="39" t="n">
        <v>80</v>
      </c>
    </row>
    <row r="15" customFormat="false" ht="15" hidden="false" customHeight="false" outlineLevel="0" collapsed="false">
      <c r="B15" s="16" t="s">
        <v>676</v>
      </c>
      <c r="C15" s="40" t="n">
        <v>0.11</v>
      </c>
      <c r="D15" s="40" t="n">
        <v>0.104</v>
      </c>
    </row>
    <row r="16" customFormat="false" ht="15" hidden="false" customHeight="false" outlineLevel="0" collapsed="false">
      <c r="B16" s="16" t="s">
        <v>677</v>
      </c>
      <c r="C16" s="40" t="n">
        <v>0.07</v>
      </c>
      <c r="D16" s="40" t="n">
        <v>0.07</v>
      </c>
    </row>
    <row r="17" customFormat="false" ht="15" hidden="false" customHeight="false" outlineLevel="0" collapsed="false">
      <c r="B17" s="16" t="s">
        <v>678</v>
      </c>
      <c r="C17" s="40" t="n">
        <v>0.005</v>
      </c>
      <c r="D17" s="40" t="n">
        <v>0.007</v>
      </c>
    </row>
    <row r="18" customFormat="false" ht="15" hidden="false" customHeight="false" outlineLevel="0" collapsed="false">
      <c r="B18" s="16" t="s">
        <v>679</v>
      </c>
      <c r="C18" s="40" t="n">
        <v>0.02</v>
      </c>
      <c r="D18" s="40" t="n">
        <v>0.02</v>
      </c>
    </row>
    <row r="19" customFormat="false" ht="15" hidden="false" customHeight="false" outlineLevel="0" collapsed="false">
      <c r="B19" s="16" t="s">
        <v>680</v>
      </c>
      <c r="C19" s="57" t="n">
        <v>0.6</v>
      </c>
      <c r="D19" s="57" t="n">
        <v>0.25</v>
      </c>
    </row>
    <row r="20" customFormat="false" ht="15" hidden="false" customHeight="false" outlineLevel="0" collapsed="false">
      <c r="B20" s="16" t="s">
        <v>681</v>
      </c>
      <c r="C20" s="57" t="n">
        <v>0.12</v>
      </c>
      <c r="D20" s="57" t="n">
        <v>0.06</v>
      </c>
    </row>
    <row r="21" customFormat="false" ht="15" hidden="false" customHeight="false" outlineLevel="0" collapsed="false">
      <c r="B21" s="16" t="s">
        <v>682</v>
      </c>
      <c r="C21" s="39" t="n">
        <v>0</v>
      </c>
      <c r="D21" s="39" t="n">
        <v>0</v>
      </c>
    </row>
    <row r="22" customFormat="false" ht="15" hidden="false" customHeight="false" outlineLevel="0" collapsed="false">
      <c r="B22" s="16" t="s">
        <v>683</v>
      </c>
      <c r="C22" s="39" t="n">
        <v>0</v>
      </c>
      <c r="D22" s="39" t="n">
        <v>0</v>
      </c>
    </row>
    <row r="23" customFormat="false" ht="15" hidden="false" customHeight="false" outlineLevel="0" collapsed="false">
      <c r="B23" s="16" t="s">
        <v>684</v>
      </c>
      <c r="C23" s="39" t="n">
        <v>0</v>
      </c>
      <c r="D23" s="39" t="n">
        <v>0</v>
      </c>
    </row>
    <row r="24" customFormat="false" ht="15" hidden="false" customHeight="false" outlineLevel="0" collapsed="false">
      <c r="B24" s="16" t="s">
        <v>685</v>
      </c>
      <c r="C24" s="57" t="n">
        <v>0.25</v>
      </c>
      <c r="E24" s="6" t="s">
        <v>686</v>
      </c>
    </row>
    <row r="25" customFormat="false" ht="15" hidden="false" customHeight="false" outlineLevel="0" collapsed="false">
      <c r="B25" s="16" t="s">
        <v>687</v>
      </c>
      <c r="C25" s="57" t="n">
        <v>0.15</v>
      </c>
      <c r="E25" s="6" t="s">
        <v>688</v>
      </c>
    </row>
    <row r="27" customFormat="false" ht="15" hidden="false" customHeight="false" outlineLevel="0" collapsed="false">
      <c r="B27" s="43" t="s">
        <v>243</v>
      </c>
      <c r="C27" s="44"/>
      <c r="D27" s="44"/>
      <c r="E27" s="44"/>
      <c r="F27" s="44"/>
      <c r="G27" s="44"/>
      <c r="H27" s="44"/>
      <c r="I27" s="44"/>
    </row>
    <row r="28" customFormat="false" ht="15" hidden="false" customHeight="false" outlineLevel="0" collapsed="false">
      <c r="B28" s="12" t="s">
        <v>689</v>
      </c>
      <c r="C28" s="30" t="s">
        <v>818</v>
      </c>
      <c r="D28" s="30" t="s">
        <v>819</v>
      </c>
    </row>
    <row r="29" customFormat="false" ht="15" hidden="false" customHeight="false" outlineLevel="0" collapsed="false">
      <c r="B29" s="16" t="s">
        <v>690</v>
      </c>
      <c r="C29" s="45" t="n">
        <f aca="false">$C$14*$C$20</f>
        <v>9.6</v>
      </c>
      <c r="D29" s="45" t="n">
        <f aca="false">$D$14*$D$20</f>
        <v>4.8</v>
      </c>
    </row>
    <row r="30" customFormat="false" ht="15" hidden="false" customHeight="false" outlineLevel="0" collapsed="false">
      <c r="B30" s="16" t="s">
        <v>691</v>
      </c>
      <c r="C30" s="45" t="n">
        <f aca="false">$C$14*$C$15+$C$21</f>
        <v>8.8</v>
      </c>
      <c r="D30" s="45" t="n">
        <f aca="false">$D$14*$D$15+$D$21</f>
        <v>8.32</v>
      </c>
    </row>
    <row r="31" customFormat="false" ht="15" hidden="false" customHeight="false" outlineLevel="0" collapsed="false">
      <c r="B31" s="16" t="s">
        <v>692</v>
      </c>
      <c r="C31" s="45" t="n">
        <f aca="false">($C$14-$C$29)*$C$16</f>
        <v>4.928</v>
      </c>
      <c r="D31" s="45" t="n">
        <f aca="false">($D$14-$D$29)*$D$16</f>
        <v>5.264</v>
      </c>
    </row>
    <row r="32" customFormat="false" ht="15" hidden="false" customHeight="false" outlineLevel="0" collapsed="false">
      <c r="B32" s="16" t="s">
        <v>693</v>
      </c>
      <c r="C32" s="45" t="n">
        <f aca="false">$C$14*$C$17+$C$22</f>
        <v>0.4</v>
      </c>
      <c r="D32" s="45" t="n">
        <f aca="false">$D$14*$D$17+$D$22</f>
        <v>0.56</v>
      </c>
    </row>
    <row r="33" customFormat="false" ht="15" hidden="false" customHeight="false" outlineLevel="0" collapsed="false">
      <c r="B33" s="16" t="s">
        <v>694</v>
      </c>
      <c r="C33" s="45" t="n">
        <f aca="false">$C$14*$C$18*$C$19</f>
        <v>0.96</v>
      </c>
      <c r="D33" s="45" t="n">
        <f aca="false">$D$14*$D$18*$D$19</f>
        <v>0.4</v>
      </c>
    </row>
    <row r="34" customFormat="false" ht="15" hidden="false" customHeight="false" outlineLevel="0" collapsed="false">
      <c r="B34" s="31" t="s">
        <v>695</v>
      </c>
      <c r="C34" s="49" t="n">
        <f aca="false">$C$30-$C$31-$C$32-$C$33</f>
        <v>2.512</v>
      </c>
      <c r="D34" s="49" t="n">
        <f aca="false">$D$30-$D$31-$D$32-$D$33</f>
        <v>2.096</v>
      </c>
    </row>
    <row r="35" customFormat="false" ht="15" hidden="false" customHeight="false" outlineLevel="0" collapsed="false">
      <c r="B35" s="16" t="s">
        <v>696</v>
      </c>
      <c r="C35" s="45" t="n">
        <f aca="false">$C$34*$C$24</f>
        <v>0.628</v>
      </c>
      <c r="D35" s="45" t="n">
        <f aca="false">$D$34*$C$24</f>
        <v>0.524</v>
      </c>
    </row>
    <row r="36" customFormat="false" ht="15" hidden="false" customHeight="false" outlineLevel="0" collapsed="false">
      <c r="B36" s="31" t="s">
        <v>697</v>
      </c>
      <c r="C36" s="49" t="n">
        <f aca="false">$C$34-$C$35</f>
        <v>1.884</v>
      </c>
      <c r="D36" s="49" t="n">
        <f aca="false">$D$34-$D$35</f>
        <v>1.572</v>
      </c>
    </row>
    <row r="37" customFormat="false" ht="15" hidden="false" customHeight="false" outlineLevel="0" collapsed="false">
      <c r="B37" s="16" t="s">
        <v>698</v>
      </c>
      <c r="C37" s="45" t="n">
        <f aca="false">$C$29+$C$23</f>
        <v>9.6</v>
      </c>
      <c r="D37" s="45" t="n">
        <f aca="false">$D$29+$D$23</f>
        <v>4.8</v>
      </c>
    </row>
    <row r="38" customFormat="false" ht="15" hidden="false" customHeight="false" outlineLevel="0" collapsed="false">
      <c r="B38" s="31" t="s">
        <v>94</v>
      </c>
      <c r="C38" s="68" t="n">
        <f aca="false">IF($C$37=0,0,$C$36/$C$37)</f>
        <v>0.19625</v>
      </c>
      <c r="D38" s="68" t="n">
        <f aca="false">IF($D$37=0,0,$D$36/$D$37)</f>
        <v>0.3275</v>
      </c>
    </row>
    <row r="39" customFormat="false" ht="15" hidden="false" customHeight="false" outlineLevel="0" collapsed="false">
      <c r="B39" s="16" t="s">
        <v>699</v>
      </c>
      <c r="C39" s="45" t="n">
        <f aca="false">($C$38-$C$25)*$C$37</f>
        <v>0.444</v>
      </c>
      <c r="D39" s="45" t="n">
        <f aca="false">($D$38-$C$25)*$D$37</f>
        <v>0.852</v>
      </c>
    </row>
    <row r="40" customFormat="false" ht="15" hidden="false" customHeight="false" outlineLevel="0" collapsed="false">
      <c r="B40" s="16" t="s">
        <v>700</v>
      </c>
      <c r="C40" s="56" t="str">
        <f aca="false">IF($C$38&gt;=$C$25,"Accept","Reject / re-price")</f>
        <v>Accept</v>
      </c>
      <c r="D40" s="56" t="str">
        <f aca="false">IF($D$38&gt;=$C$25,"Accept","Reject / re-price")</f>
        <v>Accept</v>
      </c>
    </row>
    <row r="42" customFormat="false" ht="15" hidden="false" customHeight="false" outlineLevel="0" collapsed="false">
      <c r="B42" s="43" t="s">
        <v>249</v>
      </c>
      <c r="C42" s="44"/>
      <c r="D42" s="44"/>
      <c r="E42" s="44"/>
      <c r="F42" s="44"/>
      <c r="G42" s="44"/>
      <c r="H42" s="44"/>
      <c r="I42" s="44"/>
    </row>
    <row r="43" customFormat="false" ht="30" hidden="false" customHeight="true" outlineLevel="0" collapsed="false">
      <c r="B43" s="47" t="s">
        <v>820</v>
      </c>
      <c r="C43" s="47"/>
      <c r="D43" s="47"/>
      <c r="E43" s="47"/>
      <c r="F43" s="47"/>
      <c r="G43" s="47"/>
      <c r="H43" s="47"/>
      <c r="I43" s="47"/>
    </row>
    <row r="44" customFormat="false" ht="30" hidden="false" customHeight="true" outlineLevel="0" collapsed="false">
      <c r="B44" s="47" t="s">
        <v>821</v>
      </c>
      <c r="C44" s="47"/>
      <c r="D44" s="47"/>
      <c r="E44" s="47"/>
      <c r="F44" s="47"/>
      <c r="G44" s="47"/>
      <c r="H44" s="47"/>
      <c r="I44" s="47"/>
    </row>
    <row r="45" customFormat="false" ht="16.5" hidden="false" customHeight="true" outlineLevel="0" collapsed="false">
      <c r="B45" s="47" t="s">
        <v>822</v>
      </c>
      <c r="C45" s="47"/>
      <c r="D45" s="47"/>
      <c r="E45" s="47"/>
      <c r="F45" s="47"/>
      <c r="G45" s="47"/>
      <c r="H45" s="47"/>
      <c r="I45" s="47"/>
    </row>
    <row r="46" customFormat="false" ht="16.5" hidden="false" customHeight="true" outlineLevel="0" collapsed="false">
      <c r="B46" s="48" t="s">
        <v>823</v>
      </c>
      <c r="C46" s="48"/>
      <c r="D46" s="48"/>
      <c r="E46" s="48"/>
      <c r="F46" s="48"/>
      <c r="G46" s="48"/>
      <c r="H46" s="48"/>
      <c r="I46" s="48"/>
    </row>
  </sheetData>
  <mergeCells count="8">
    <mergeCell ref="B5:I5"/>
    <mergeCell ref="B8:I8"/>
    <mergeCell ref="B9:I9"/>
    <mergeCell ref="B10:I10"/>
    <mergeCell ref="B43:I43"/>
    <mergeCell ref="B44:I44"/>
    <mergeCell ref="B45:I45"/>
    <mergeCell ref="B46:I46"/>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25" t="s">
        <v>824</v>
      </c>
      <c r="I1" s="26" t="s">
        <v>164</v>
      </c>
    </row>
    <row r="3" customFormat="false" ht="15" hidden="false" customHeight="false" outlineLevel="0" collapsed="false">
      <c r="B3" s="27" t="s">
        <v>165</v>
      </c>
      <c r="C3" s="28"/>
      <c r="D3" s="28"/>
      <c r="E3" s="28"/>
      <c r="F3" s="28"/>
      <c r="G3" s="28"/>
      <c r="H3" s="28"/>
      <c r="I3" s="28"/>
    </row>
    <row r="4" customFormat="false" ht="57" hidden="false" customHeight="true" outlineLevel="0" collapsed="false">
      <c r="B4" s="29" t="s">
        <v>825</v>
      </c>
      <c r="C4" s="29"/>
      <c r="D4" s="29"/>
      <c r="E4" s="29"/>
      <c r="F4" s="29"/>
      <c r="G4" s="29"/>
      <c r="H4" s="29"/>
      <c r="I4" s="29"/>
    </row>
    <row r="6" customFormat="false" ht="15" hidden="false" customHeight="false" outlineLevel="0" collapsed="false">
      <c r="B6" s="27" t="s">
        <v>167</v>
      </c>
      <c r="C6" s="28"/>
      <c r="D6" s="28"/>
      <c r="E6" s="28"/>
      <c r="F6" s="28"/>
      <c r="G6" s="28"/>
      <c r="H6" s="28"/>
      <c r="I6" s="28"/>
    </row>
    <row r="7" customFormat="false" ht="16.5" hidden="false" customHeight="true" outlineLevel="0" collapsed="false">
      <c r="B7" s="29" t="s">
        <v>826</v>
      </c>
      <c r="C7" s="29"/>
      <c r="D7" s="29"/>
      <c r="E7" s="29"/>
      <c r="F7" s="29"/>
      <c r="G7" s="29"/>
      <c r="H7" s="29"/>
      <c r="I7" s="29"/>
    </row>
    <row r="8" customFormat="false" ht="16.5" hidden="false" customHeight="true" outlineLevel="0" collapsed="false">
      <c r="B8" s="29" t="s">
        <v>827</v>
      </c>
      <c r="C8" s="29"/>
      <c r="D8" s="29"/>
      <c r="E8" s="29"/>
      <c r="F8" s="29"/>
      <c r="G8" s="29"/>
      <c r="H8" s="29"/>
      <c r="I8" s="29"/>
    </row>
    <row r="9" customFormat="false" ht="16.5" hidden="false" customHeight="true" outlineLevel="0" collapsed="false">
      <c r="B9" s="29" t="s">
        <v>828</v>
      </c>
      <c r="C9" s="29"/>
      <c r="D9" s="29"/>
      <c r="E9" s="29"/>
      <c r="F9" s="29"/>
      <c r="G9" s="29"/>
      <c r="H9" s="29"/>
      <c r="I9" s="29"/>
    </row>
    <row r="10" customFormat="false" ht="16.5" hidden="false" customHeight="true" outlineLevel="0" collapsed="false">
      <c r="B10" s="29" t="s">
        <v>829</v>
      </c>
      <c r="C10" s="29"/>
      <c r="D10" s="29"/>
      <c r="E10" s="29"/>
      <c r="F10" s="29"/>
      <c r="G10" s="29"/>
      <c r="H10" s="29"/>
      <c r="I10" s="29"/>
    </row>
    <row r="12" customFormat="false" ht="15" hidden="false" customHeight="false" outlineLevel="0" collapsed="false">
      <c r="B12" s="27" t="s">
        <v>172</v>
      </c>
      <c r="C12" s="28"/>
      <c r="D12" s="28"/>
      <c r="E12" s="28"/>
      <c r="F12" s="28"/>
      <c r="G12" s="28"/>
      <c r="H12" s="28"/>
      <c r="I12" s="28"/>
    </row>
    <row r="13" customFormat="false" ht="16.5" hidden="false" customHeight="true" outlineLevel="0" collapsed="false">
      <c r="B13" s="29" t="s">
        <v>830</v>
      </c>
      <c r="C13" s="29"/>
      <c r="D13" s="29"/>
      <c r="E13" s="29"/>
      <c r="F13" s="29"/>
      <c r="G13" s="29"/>
      <c r="H13" s="29"/>
      <c r="I13" s="29"/>
    </row>
    <row r="14" customFormat="false" ht="30" hidden="false" customHeight="true" outlineLevel="0" collapsed="false">
      <c r="B14" s="29" t="s">
        <v>831</v>
      </c>
      <c r="C14" s="29"/>
      <c r="D14" s="29"/>
      <c r="E14" s="29"/>
      <c r="F14" s="29"/>
      <c r="G14" s="29"/>
      <c r="H14" s="29"/>
      <c r="I14" s="29"/>
    </row>
    <row r="15" customFormat="false" ht="16.5" hidden="false" customHeight="true" outlineLevel="0" collapsed="false">
      <c r="B15" s="29" t="s">
        <v>832</v>
      </c>
      <c r="C15" s="29"/>
      <c r="D15" s="29"/>
      <c r="E15" s="29"/>
      <c r="F15" s="29"/>
      <c r="G15" s="29"/>
      <c r="H15" s="29"/>
      <c r="I15" s="29"/>
    </row>
    <row r="16" customFormat="false" ht="16.5" hidden="false" customHeight="true" outlineLevel="0" collapsed="false">
      <c r="B16" s="29" t="s">
        <v>833</v>
      </c>
      <c r="C16" s="29"/>
      <c r="D16" s="29"/>
      <c r="E16" s="29"/>
      <c r="F16" s="29"/>
      <c r="G16" s="29"/>
      <c r="H16" s="29"/>
      <c r="I16" s="29"/>
    </row>
    <row r="18" customFormat="false" ht="15" hidden="false" customHeight="false" outlineLevel="0" collapsed="false">
      <c r="B18" s="27" t="s">
        <v>177</v>
      </c>
      <c r="C18" s="28"/>
      <c r="D18" s="28"/>
      <c r="E18" s="28"/>
      <c r="F18" s="28"/>
      <c r="G18" s="28"/>
      <c r="H18" s="28"/>
      <c r="I18" s="28"/>
    </row>
    <row r="19" customFormat="false" ht="15" hidden="false" customHeight="false" outlineLevel="0" collapsed="false">
      <c r="B19" s="12" t="s">
        <v>178</v>
      </c>
      <c r="C19" s="30" t="s">
        <v>179</v>
      </c>
    </row>
    <row r="20" customFormat="false" ht="15" hidden="false" customHeight="false" outlineLevel="0" collapsed="false">
      <c r="B20" s="31" t="s">
        <v>834</v>
      </c>
      <c r="C20" s="32" t="s">
        <v>835</v>
      </c>
      <c r="D20" s="32"/>
      <c r="E20" s="32"/>
      <c r="F20" s="32"/>
      <c r="G20" s="32"/>
      <c r="H20" s="32"/>
      <c r="I20" s="32"/>
    </row>
    <row r="21" customFormat="false" ht="15" hidden="false" customHeight="false" outlineLevel="0" collapsed="false">
      <c r="B21" s="31" t="s">
        <v>836</v>
      </c>
      <c r="C21" s="32" t="s">
        <v>837</v>
      </c>
      <c r="D21" s="32"/>
      <c r="E21" s="32"/>
      <c r="F21" s="32"/>
      <c r="G21" s="32"/>
      <c r="H21" s="32"/>
      <c r="I21" s="32"/>
    </row>
    <row r="22" customFormat="false" ht="15" hidden="false" customHeight="false" outlineLevel="0" collapsed="false">
      <c r="B22" s="31" t="s">
        <v>838</v>
      </c>
      <c r="C22" s="32" t="s">
        <v>839</v>
      </c>
      <c r="D22" s="32"/>
      <c r="E22" s="32"/>
      <c r="F22" s="32"/>
      <c r="G22" s="32"/>
      <c r="H22" s="32"/>
      <c r="I22" s="32"/>
    </row>
    <row r="23" customFormat="false" ht="15" hidden="false" customHeight="false" outlineLevel="0" collapsed="false">
      <c r="B23" s="31" t="s">
        <v>157</v>
      </c>
      <c r="C23" s="32" t="s">
        <v>840</v>
      </c>
      <c r="D23" s="32"/>
      <c r="E23" s="32"/>
      <c r="F23" s="32"/>
      <c r="G23" s="32"/>
      <c r="H23" s="32"/>
      <c r="I23" s="32"/>
    </row>
    <row r="24" customFormat="false" ht="15" hidden="false" customHeight="false" outlineLevel="0" collapsed="false">
      <c r="B24" s="31" t="s">
        <v>841</v>
      </c>
      <c r="C24" s="32" t="s">
        <v>842</v>
      </c>
      <c r="D24" s="32"/>
      <c r="E24" s="32"/>
      <c r="F24" s="32"/>
      <c r="G24" s="32"/>
      <c r="H24" s="32"/>
      <c r="I24" s="32"/>
    </row>
    <row r="25" customFormat="false" ht="15" hidden="false" customHeight="false" outlineLevel="0" collapsed="false">
      <c r="B25" s="31" t="s">
        <v>843</v>
      </c>
      <c r="C25" s="32" t="s">
        <v>844</v>
      </c>
      <c r="D25" s="32"/>
      <c r="E25" s="32"/>
      <c r="F25" s="32"/>
      <c r="G25" s="32"/>
      <c r="H25" s="32"/>
      <c r="I25" s="32"/>
    </row>
    <row r="26" customFormat="false" ht="15" hidden="false" customHeight="false" outlineLevel="0" collapsed="false">
      <c r="B26" s="31" t="s">
        <v>845</v>
      </c>
      <c r="C26" s="32" t="s">
        <v>846</v>
      </c>
      <c r="D26" s="32"/>
      <c r="E26" s="32"/>
      <c r="F26" s="32"/>
      <c r="G26" s="32"/>
      <c r="H26" s="32"/>
      <c r="I26" s="32"/>
    </row>
    <row r="27" customFormat="false" ht="15" hidden="false" customHeight="false" outlineLevel="0" collapsed="false">
      <c r="B27" s="31" t="s">
        <v>847</v>
      </c>
      <c r="C27" s="32" t="s">
        <v>848</v>
      </c>
      <c r="D27" s="32"/>
      <c r="E27" s="32"/>
      <c r="F27" s="32"/>
      <c r="G27" s="32"/>
      <c r="H27" s="32"/>
      <c r="I27" s="32"/>
    </row>
    <row r="29" customFormat="false" ht="15" hidden="false" customHeight="false" outlineLevel="0" collapsed="false">
      <c r="B29" s="27" t="s">
        <v>194</v>
      </c>
      <c r="C29" s="28"/>
      <c r="D29" s="28"/>
      <c r="E29" s="28"/>
      <c r="F29" s="28"/>
      <c r="G29" s="28"/>
      <c r="H29" s="28"/>
      <c r="I29" s="28"/>
    </row>
    <row r="47" customFormat="false" ht="30" hidden="false" customHeight="true" outlineLevel="0" collapsed="false">
      <c r="B47" s="33" t="s">
        <v>849</v>
      </c>
      <c r="C47" s="33"/>
      <c r="D47" s="33"/>
      <c r="E47" s="33"/>
      <c r="F47" s="33"/>
      <c r="G47" s="33"/>
      <c r="H47" s="33"/>
      <c r="I47" s="33"/>
    </row>
    <row r="49" customFormat="false" ht="15" hidden="false" customHeight="false" outlineLevel="0" collapsed="false">
      <c r="B49" s="27" t="s">
        <v>197</v>
      </c>
      <c r="C49" s="28"/>
      <c r="D49" s="28"/>
      <c r="E49" s="28"/>
      <c r="F49" s="28"/>
      <c r="G49" s="28"/>
      <c r="H49" s="28"/>
      <c r="I49" s="28"/>
    </row>
    <row r="50" customFormat="false" ht="16.5" hidden="false" customHeight="true" outlineLevel="0" collapsed="false">
      <c r="B50" s="34" t="s">
        <v>850</v>
      </c>
      <c r="C50" s="34"/>
      <c r="D50" s="34"/>
      <c r="E50" s="34"/>
      <c r="F50" s="34"/>
      <c r="G50" s="34"/>
      <c r="H50" s="34"/>
      <c r="I50" s="34"/>
    </row>
    <row r="51" customFormat="false" ht="30" hidden="false" customHeight="true" outlineLevel="0" collapsed="false">
      <c r="B51" s="35" t="s">
        <v>851</v>
      </c>
      <c r="C51" s="35"/>
      <c r="D51" s="35"/>
      <c r="E51" s="35"/>
      <c r="F51" s="35"/>
      <c r="G51" s="35"/>
      <c r="H51" s="35"/>
      <c r="I51" s="35"/>
    </row>
    <row r="52" customFormat="false" ht="16.5" hidden="false" customHeight="true" outlineLevel="0" collapsed="false">
      <c r="B52" s="34" t="s">
        <v>852</v>
      </c>
      <c r="C52" s="34"/>
      <c r="D52" s="34"/>
      <c r="E52" s="34"/>
      <c r="F52" s="34"/>
      <c r="G52" s="34"/>
      <c r="H52" s="34"/>
      <c r="I52" s="34"/>
    </row>
    <row r="53" customFormat="false" ht="43.5" hidden="false" customHeight="true" outlineLevel="0" collapsed="false">
      <c r="B53" s="35" t="s">
        <v>853</v>
      </c>
      <c r="C53" s="35"/>
      <c r="D53" s="35"/>
      <c r="E53" s="35"/>
      <c r="F53" s="35"/>
      <c r="G53" s="35"/>
      <c r="H53" s="35"/>
      <c r="I53" s="35"/>
    </row>
    <row r="54" customFormat="false" ht="16.5" hidden="false" customHeight="true" outlineLevel="0" collapsed="false">
      <c r="B54" s="34" t="s">
        <v>854</v>
      </c>
      <c r="C54" s="34"/>
      <c r="D54" s="34"/>
      <c r="E54" s="34"/>
      <c r="F54" s="34"/>
      <c r="G54" s="34"/>
      <c r="H54" s="34"/>
      <c r="I54" s="34"/>
    </row>
    <row r="55" customFormat="false" ht="43.5" hidden="false" customHeight="true" outlineLevel="0" collapsed="false">
      <c r="B55" s="35" t="s">
        <v>855</v>
      </c>
      <c r="C55" s="35"/>
      <c r="D55" s="35"/>
      <c r="E55" s="35"/>
      <c r="F55" s="35"/>
      <c r="G55" s="35"/>
      <c r="H55" s="35"/>
      <c r="I55" s="35"/>
    </row>
    <row r="56" customFormat="false" ht="16.5" hidden="false" customHeight="true" outlineLevel="0" collapsed="false">
      <c r="B56" s="34" t="s">
        <v>856</v>
      </c>
      <c r="C56" s="34"/>
      <c r="D56" s="34"/>
      <c r="E56" s="34"/>
      <c r="F56" s="34"/>
      <c r="G56" s="34"/>
      <c r="H56" s="34"/>
      <c r="I56" s="34"/>
    </row>
    <row r="57" customFormat="false" ht="43.5" hidden="false" customHeight="true" outlineLevel="0" collapsed="false">
      <c r="B57" s="35" t="s">
        <v>857</v>
      </c>
      <c r="C57" s="35"/>
      <c r="D57" s="35"/>
      <c r="E57" s="35"/>
      <c r="F57" s="35"/>
      <c r="G57" s="35"/>
      <c r="H57" s="35"/>
      <c r="I57" s="35"/>
    </row>
    <row r="59" customFormat="false" ht="15" hidden="false" customHeight="false" outlineLevel="0" collapsed="false">
      <c r="B59" s="27" t="s">
        <v>206</v>
      </c>
      <c r="C59" s="28"/>
      <c r="D59" s="28"/>
      <c r="E59" s="28"/>
      <c r="F59" s="28"/>
      <c r="G59" s="28"/>
      <c r="H59" s="28"/>
      <c r="I59" s="28"/>
    </row>
    <row r="60" customFormat="false" ht="30" hidden="false" customHeight="true" outlineLevel="0" collapsed="false">
      <c r="B60" s="29" t="s">
        <v>858</v>
      </c>
      <c r="C60" s="29"/>
      <c r="D60" s="29"/>
      <c r="E60" s="29"/>
      <c r="F60" s="29"/>
      <c r="G60" s="29"/>
      <c r="H60" s="29"/>
      <c r="I60" s="29"/>
    </row>
    <row r="61" customFormat="false" ht="16.5" hidden="false" customHeight="true" outlineLevel="0" collapsed="false">
      <c r="B61" s="29" t="s">
        <v>859</v>
      </c>
      <c r="C61" s="29"/>
      <c r="D61" s="29"/>
      <c r="E61" s="29"/>
      <c r="F61" s="29"/>
      <c r="G61" s="29"/>
      <c r="H61" s="29"/>
      <c r="I61" s="29"/>
    </row>
    <row r="62" customFormat="false" ht="16.5" hidden="false" customHeight="true" outlineLevel="0" collapsed="false">
      <c r="B62" s="29" t="s">
        <v>860</v>
      </c>
      <c r="C62" s="29"/>
      <c r="D62" s="29"/>
      <c r="E62" s="29"/>
      <c r="F62" s="29"/>
      <c r="G62" s="29"/>
      <c r="H62" s="29"/>
      <c r="I62" s="29"/>
    </row>
    <row r="63" customFormat="false" ht="16.5" hidden="false" customHeight="true" outlineLevel="0" collapsed="false">
      <c r="B63" s="29" t="s">
        <v>861</v>
      </c>
      <c r="C63" s="29"/>
      <c r="D63" s="29"/>
      <c r="E63" s="29"/>
      <c r="F63" s="29"/>
      <c r="G63" s="29"/>
      <c r="H63" s="29"/>
      <c r="I63" s="29"/>
    </row>
    <row r="64" customFormat="false" ht="16.5" hidden="false" customHeight="true" outlineLevel="0" collapsed="false">
      <c r="B64" s="29" t="s">
        <v>862</v>
      </c>
      <c r="C64" s="29"/>
      <c r="D64" s="29"/>
      <c r="E64" s="29"/>
      <c r="F64" s="29"/>
      <c r="G64" s="29"/>
      <c r="H64" s="29"/>
      <c r="I64" s="29"/>
    </row>
    <row r="66" customFormat="false" ht="15" hidden="false" customHeight="false" outlineLevel="0" collapsed="false">
      <c r="B66" s="27" t="s">
        <v>212</v>
      </c>
      <c r="C66" s="28"/>
      <c r="D66" s="28"/>
      <c r="E66" s="28"/>
      <c r="F66" s="28"/>
      <c r="G66" s="28"/>
      <c r="H66" s="28"/>
      <c r="I66" s="28"/>
    </row>
    <row r="67" customFormat="false" ht="16.5" hidden="false" customHeight="true" outlineLevel="0" collapsed="false">
      <c r="B67" s="36" t="s">
        <v>863</v>
      </c>
      <c r="C67" s="36"/>
      <c r="D67" s="36"/>
      <c r="E67" s="36"/>
      <c r="F67" s="36"/>
      <c r="G67" s="36"/>
      <c r="H67" s="36"/>
      <c r="I67" s="36"/>
    </row>
    <row r="68" customFormat="false" ht="16.5" hidden="false" customHeight="true" outlineLevel="0" collapsed="false">
      <c r="B68" s="37" t="s">
        <v>864</v>
      </c>
      <c r="C68" s="37"/>
      <c r="D68" s="37"/>
      <c r="E68" s="37"/>
      <c r="F68" s="37"/>
      <c r="G68" s="37"/>
      <c r="H68" s="37"/>
      <c r="I68" s="37"/>
    </row>
    <row r="69" customFormat="false" ht="16.5" hidden="false" customHeight="true" outlineLevel="0" collapsed="false">
      <c r="B69" s="36" t="s">
        <v>865</v>
      </c>
      <c r="C69" s="36"/>
      <c r="D69" s="36"/>
      <c r="E69" s="36"/>
      <c r="F69" s="36"/>
      <c r="G69" s="36"/>
      <c r="H69" s="36"/>
      <c r="I69" s="36"/>
    </row>
    <row r="70" customFormat="false" ht="30" hidden="false" customHeight="true" outlineLevel="0" collapsed="false">
      <c r="B70" s="37" t="s">
        <v>866</v>
      </c>
      <c r="C70" s="37"/>
      <c r="D70" s="37"/>
      <c r="E70" s="37"/>
      <c r="F70" s="37"/>
      <c r="G70" s="37"/>
      <c r="H70" s="37"/>
      <c r="I70" s="37"/>
    </row>
    <row r="71" customFormat="false" ht="16.5" hidden="false" customHeight="true" outlineLevel="0" collapsed="false">
      <c r="B71" s="36" t="s">
        <v>867</v>
      </c>
      <c r="C71" s="36"/>
      <c r="D71" s="36"/>
      <c r="E71" s="36"/>
      <c r="F71" s="36"/>
      <c r="G71" s="36"/>
      <c r="H71" s="36"/>
      <c r="I71" s="36"/>
    </row>
    <row r="72" customFormat="false" ht="30" hidden="false" customHeight="true" outlineLevel="0" collapsed="false">
      <c r="B72" s="37" t="s">
        <v>868</v>
      </c>
      <c r="C72" s="37"/>
      <c r="D72" s="37"/>
      <c r="E72" s="37"/>
      <c r="F72" s="37"/>
      <c r="G72" s="37"/>
      <c r="H72" s="37"/>
      <c r="I72" s="37"/>
    </row>
    <row r="73" customFormat="false" ht="16.5" hidden="false" customHeight="true" outlineLevel="0" collapsed="false">
      <c r="B73" s="36" t="s">
        <v>869</v>
      </c>
      <c r="C73" s="36"/>
      <c r="D73" s="36"/>
      <c r="E73" s="36"/>
      <c r="F73" s="36"/>
      <c r="G73" s="36"/>
      <c r="H73" s="36"/>
      <c r="I73" s="36"/>
    </row>
    <row r="74" customFormat="false" ht="30" hidden="false" customHeight="true" outlineLevel="0" collapsed="false">
      <c r="B74" s="37" t="s">
        <v>870</v>
      </c>
      <c r="C74" s="37"/>
      <c r="D74" s="37"/>
      <c r="E74" s="37"/>
      <c r="F74" s="37"/>
      <c r="G74" s="37"/>
      <c r="H74" s="37"/>
      <c r="I74" s="37"/>
    </row>
    <row r="75" customFormat="false" ht="16.5" hidden="false" customHeight="true" outlineLevel="0" collapsed="false">
      <c r="B75" s="36" t="s">
        <v>871</v>
      </c>
      <c r="C75" s="36"/>
      <c r="D75" s="36"/>
      <c r="E75" s="36"/>
      <c r="F75" s="36"/>
      <c r="G75" s="36"/>
      <c r="H75" s="36"/>
      <c r="I75" s="36"/>
    </row>
    <row r="76" customFormat="false" ht="30" hidden="false" customHeight="true" outlineLevel="0" collapsed="false">
      <c r="B76" s="37" t="s">
        <v>872</v>
      </c>
      <c r="C76" s="37"/>
      <c r="D76" s="37"/>
      <c r="E76" s="37"/>
      <c r="F76" s="37"/>
      <c r="G76" s="37"/>
      <c r="H76" s="37"/>
      <c r="I76" s="37"/>
    </row>
  </sheetData>
  <mergeCells count="41">
    <mergeCell ref="B4:I4"/>
    <mergeCell ref="B7:I7"/>
    <mergeCell ref="B8:I8"/>
    <mergeCell ref="B9:I9"/>
    <mergeCell ref="B10:I10"/>
    <mergeCell ref="B13:I13"/>
    <mergeCell ref="B14:I14"/>
    <mergeCell ref="B15:I15"/>
    <mergeCell ref="B16:I16"/>
    <mergeCell ref="C20:I20"/>
    <mergeCell ref="C21:I21"/>
    <mergeCell ref="C22:I22"/>
    <mergeCell ref="C23:I23"/>
    <mergeCell ref="C24:I24"/>
    <mergeCell ref="C25:I25"/>
    <mergeCell ref="C26:I26"/>
    <mergeCell ref="C27:I27"/>
    <mergeCell ref="B47:I47"/>
    <mergeCell ref="B50:I50"/>
    <mergeCell ref="B51:I51"/>
    <mergeCell ref="B52:I52"/>
    <mergeCell ref="B53:I53"/>
    <mergeCell ref="B54:I54"/>
    <mergeCell ref="B55:I55"/>
    <mergeCell ref="B56:I56"/>
    <mergeCell ref="B57:I57"/>
    <mergeCell ref="B60:I60"/>
    <mergeCell ref="B61:I61"/>
    <mergeCell ref="B62:I62"/>
    <mergeCell ref="B63:I63"/>
    <mergeCell ref="B64:I64"/>
    <mergeCell ref="B67:I67"/>
    <mergeCell ref="B68:I68"/>
    <mergeCell ref="B69:I69"/>
    <mergeCell ref="B70:I70"/>
    <mergeCell ref="B71:I71"/>
    <mergeCell ref="B72:I72"/>
    <mergeCell ref="B73:I73"/>
    <mergeCell ref="B74:I74"/>
    <mergeCell ref="B75:I75"/>
    <mergeCell ref="B76:I76"/>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25" t="s">
        <v>873</v>
      </c>
      <c r="I1" s="26" t="s">
        <v>164</v>
      </c>
    </row>
    <row r="2" customFormat="false" ht="15" hidden="false" customHeight="false" outlineLevel="0" collapsed="false">
      <c r="B2" s="38" t="s">
        <v>874</v>
      </c>
    </row>
    <row r="4" customFormat="false" ht="15" hidden="false" customHeight="false" outlineLevel="0" collapsed="false">
      <c r="B4" s="27" t="s">
        <v>225</v>
      </c>
      <c r="C4" s="28"/>
      <c r="D4" s="28"/>
      <c r="E4" s="28"/>
      <c r="F4" s="28"/>
      <c r="G4" s="28"/>
      <c r="H4" s="28"/>
      <c r="I4" s="28"/>
    </row>
    <row r="5" customFormat="false" ht="43.5" hidden="false" customHeight="true" outlineLevel="0" collapsed="false">
      <c r="B5" s="29" t="s">
        <v>875</v>
      </c>
      <c r="C5" s="29"/>
      <c r="D5" s="29"/>
      <c r="E5" s="29"/>
      <c r="F5" s="29"/>
      <c r="G5" s="29"/>
      <c r="H5" s="29"/>
      <c r="I5" s="29"/>
    </row>
    <row r="7" customFormat="false" ht="15" hidden="false" customHeight="false" outlineLevel="0" collapsed="false">
      <c r="B7" s="27" t="s">
        <v>227</v>
      </c>
      <c r="C7" s="28"/>
      <c r="D7" s="28"/>
      <c r="E7" s="28"/>
      <c r="F7" s="28"/>
      <c r="G7" s="28"/>
      <c r="H7" s="28"/>
      <c r="I7" s="28"/>
    </row>
    <row r="8" customFormat="false" ht="16.5" hidden="false" customHeight="true" outlineLevel="0" collapsed="false">
      <c r="B8" s="29" t="s">
        <v>876</v>
      </c>
      <c r="C8" s="29"/>
      <c r="D8" s="29"/>
      <c r="E8" s="29"/>
      <c r="F8" s="29"/>
      <c r="G8" s="29"/>
      <c r="H8" s="29"/>
      <c r="I8" s="29"/>
    </row>
    <row r="9" customFormat="false" ht="16.5" hidden="false" customHeight="true" outlineLevel="0" collapsed="false">
      <c r="B9" s="29" t="s">
        <v>877</v>
      </c>
      <c r="C9" s="29"/>
      <c r="D9" s="29"/>
      <c r="E9" s="29"/>
      <c r="F9" s="29"/>
      <c r="G9" s="29"/>
      <c r="H9" s="29"/>
      <c r="I9" s="29"/>
    </row>
    <row r="10" customFormat="false" ht="16.5" hidden="false" customHeight="true" outlineLevel="0" collapsed="false">
      <c r="B10" s="29" t="s">
        <v>878</v>
      </c>
      <c r="C10" s="29"/>
      <c r="D10" s="29"/>
      <c r="E10" s="29"/>
      <c r="F10" s="29"/>
      <c r="G10" s="29"/>
      <c r="H10" s="29"/>
      <c r="I10" s="29"/>
    </row>
    <row r="11" customFormat="false" ht="16.5" hidden="false" customHeight="true" outlineLevel="0" collapsed="false">
      <c r="B11" s="29" t="s">
        <v>879</v>
      </c>
      <c r="C11" s="29"/>
      <c r="D11" s="29"/>
      <c r="E11" s="29"/>
      <c r="F11" s="29"/>
      <c r="G11" s="29"/>
      <c r="H11" s="29"/>
      <c r="I11" s="29"/>
    </row>
    <row r="12" customFormat="false" ht="16.5" hidden="false" customHeight="true" outlineLevel="0" collapsed="false">
      <c r="B12" s="29" t="s">
        <v>880</v>
      </c>
      <c r="C12" s="29"/>
      <c r="D12" s="29"/>
      <c r="E12" s="29"/>
      <c r="F12" s="29"/>
      <c r="G12" s="29"/>
      <c r="H12" s="29"/>
      <c r="I12" s="29"/>
    </row>
    <row r="14" customFormat="false" ht="15" hidden="false" customHeight="false" outlineLevel="0" collapsed="false">
      <c r="B14" s="27" t="s">
        <v>232</v>
      </c>
      <c r="C14" s="28"/>
      <c r="D14" s="28"/>
      <c r="E14" s="28"/>
      <c r="F14" s="28"/>
      <c r="G14" s="28"/>
      <c r="H14" s="28"/>
      <c r="I14" s="28"/>
    </row>
    <row r="15" customFormat="false" ht="15" hidden="false" customHeight="false" outlineLevel="0" collapsed="false">
      <c r="B15" s="12" t="s">
        <v>881</v>
      </c>
      <c r="C15" s="30" t="s">
        <v>882</v>
      </c>
      <c r="D15" s="30" t="s">
        <v>883</v>
      </c>
    </row>
    <row r="16" customFormat="false" ht="15" hidden="false" customHeight="false" outlineLevel="0" collapsed="false">
      <c r="B16" s="16" t="s">
        <v>884</v>
      </c>
      <c r="C16" s="53" t="n">
        <v>2.1</v>
      </c>
      <c r="D16" s="53" t="n">
        <v>3.6</v>
      </c>
    </row>
    <row r="17" customFormat="false" ht="15" hidden="false" customHeight="false" outlineLevel="0" collapsed="false">
      <c r="B17" s="16" t="s">
        <v>885</v>
      </c>
      <c r="C17" s="53" t="n">
        <v>-1.5</v>
      </c>
      <c r="D17" s="53" t="n">
        <v>-1.2</v>
      </c>
    </row>
    <row r="18" customFormat="false" ht="15" hidden="false" customHeight="false" outlineLevel="0" collapsed="false">
      <c r="B18" s="16" t="s">
        <v>886</v>
      </c>
      <c r="C18" s="53" t="n">
        <v>3.4</v>
      </c>
      <c r="D18" s="53" t="n">
        <v>3.5</v>
      </c>
    </row>
    <row r="19" customFormat="false" ht="15" hidden="false" customHeight="false" outlineLevel="0" collapsed="false">
      <c r="B19" s="16" t="s">
        <v>887</v>
      </c>
      <c r="C19" s="53" t="n">
        <v>0.8</v>
      </c>
      <c r="D19" s="53" t="n">
        <v>1.9</v>
      </c>
    </row>
    <row r="20" customFormat="false" ht="15" hidden="false" customHeight="false" outlineLevel="0" collapsed="false">
      <c r="B20" s="16" t="s">
        <v>888</v>
      </c>
      <c r="C20" s="53" t="n">
        <v>-2.7</v>
      </c>
      <c r="D20" s="53" t="n">
        <v>-2.6</v>
      </c>
    </row>
    <row r="21" customFormat="false" ht="15" hidden="false" customHeight="false" outlineLevel="0" collapsed="false">
      <c r="B21" s="16" t="s">
        <v>889</v>
      </c>
      <c r="C21" s="53" t="n">
        <v>1.9</v>
      </c>
      <c r="D21" s="53" t="n">
        <v>1.4</v>
      </c>
    </row>
    <row r="22" customFormat="false" ht="15" hidden="false" customHeight="false" outlineLevel="0" collapsed="false">
      <c r="B22" s="16" t="s">
        <v>890</v>
      </c>
      <c r="C22" s="53" t="n">
        <v>4.2</v>
      </c>
      <c r="D22" s="53" t="n">
        <v>6.3</v>
      </c>
    </row>
    <row r="23" customFormat="false" ht="15" hidden="false" customHeight="false" outlineLevel="0" collapsed="false">
      <c r="B23" s="16" t="s">
        <v>891</v>
      </c>
      <c r="C23" s="53" t="n">
        <v>-0.6</v>
      </c>
      <c r="D23" s="53" t="n">
        <v>0.4</v>
      </c>
    </row>
    <row r="24" customFormat="false" ht="15" hidden="false" customHeight="false" outlineLevel="0" collapsed="false">
      <c r="B24" s="16" t="s">
        <v>892</v>
      </c>
      <c r="C24" s="53" t="n">
        <v>1.1</v>
      </c>
      <c r="D24" s="53" t="n">
        <v>0.2</v>
      </c>
    </row>
    <row r="25" customFormat="false" ht="15" hidden="false" customHeight="false" outlineLevel="0" collapsed="false">
      <c r="B25" s="16" t="s">
        <v>893</v>
      </c>
      <c r="C25" s="53" t="n">
        <v>-3.3</v>
      </c>
      <c r="D25" s="53" t="n">
        <v>-5.3</v>
      </c>
    </row>
    <row r="26" customFormat="false" ht="15" hidden="false" customHeight="false" outlineLevel="0" collapsed="false">
      <c r="B26" s="16" t="s">
        <v>894</v>
      </c>
      <c r="C26" s="53" t="n">
        <v>2.6</v>
      </c>
      <c r="D26" s="53" t="n">
        <v>4.4</v>
      </c>
    </row>
    <row r="27" customFormat="false" ht="15" hidden="false" customHeight="false" outlineLevel="0" collapsed="false">
      <c r="B27" s="16" t="s">
        <v>895</v>
      </c>
      <c r="C27" s="53" t="n">
        <v>0.5</v>
      </c>
      <c r="D27" s="53" t="n">
        <v>-0.8</v>
      </c>
    </row>
    <row r="28" customFormat="false" ht="15" hidden="false" customHeight="false" outlineLevel="0" collapsed="false">
      <c r="B28" s="16" t="s">
        <v>896</v>
      </c>
      <c r="C28" s="39" t="n">
        <v>-5</v>
      </c>
    </row>
    <row r="30" customFormat="false" ht="15" hidden="false" customHeight="false" outlineLevel="0" collapsed="false">
      <c r="B30" s="43" t="s">
        <v>243</v>
      </c>
      <c r="C30" s="44"/>
      <c r="D30" s="44"/>
      <c r="E30" s="44"/>
      <c r="F30" s="44"/>
      <c r="G30" s="44"/>
      <c r="H30" s="44"/>
      <c r="I30" s="44"/>
    </row>
    <row r="31" customFormat="false" ht="15" hidden="false" customHeight="false" outlineLevel="0" collapsed="false">
      <c r="B31" s="16" t="s">
        <v>897</v>
      </c>
      <c r="C31" s="58" t="n">
        <f aca="false">AVERAGE($C$16:$C$27)</f>
        <v>0.708333333333333</v>
      </c>
    </row>
    <row r="32" customFormat="false" ht="15" hidden="false" customHeight="false" outlineLevel="0" collapsed="false">
      <c r="B32" s="16" t="s">
        <v>898</v>
      </c>
      <c r="C32" s="58" t="n">
        <f aca="false">AVERAGE($D$16:$D$27)</f>
        <v>0.983333333333333</v>
      </c>
    </row>
    <row r="33" customFormat="false" ht="15" hidden="false" customHeight="false" outlineLevel="0" collapsed="false">
      <c r="B33" s="16" t="s">
        <v>899</v>
      </c>
      <c r="C33" s="58" t="n">
        <f aca="false">_xlfn.COVARIANCE.S($C$16:$C$27,$D$16:$D$27)</f>
        <v>7.18833333333333</v>
      </c>
    </row>
    <row r="34" customFormat="false" ht="15" hidden="false" customHeight="false" outlineLevel="0" collapsed="false">
      <c r="B34" s="16" t="s">
        <v>900</v>
      </c>
      <c r="C34" s="58" t="n">
        <f aca="false">_xlfn.VAR.S($C$16:$C$27)</f>
        <v>5.53174242424242</v>
      </c>
    </row>
    <row r="35" customFormat="false" ht="15" hidden="false" customHeight="false" outlineLevel="0" collapsed="false">
      <c r="B35" s="31" t="s">
        <v>901</v>
      </c>
      <c r="C35" s="59" t="n">
        <f aca="false">$C$33/$C$34</f>
        <v>1.29947000095865</v>
      </c>
    </row>
    <row r="36" customFormat="false" ht="15" hidden="false" customHeight="false" outlineLevel="0" collapsed="false">
      <c r="B36" s="16" t="s">
        <v>902</v>
      </c>
      <c r="C36" s="58" t="n">
        <f aca="false">SLOPE($D$16:$D$27,$C$16:$C$27)</f>
        <v>1.29947000095865</v>
      </c>
    </row>
    <row r="37" customFormat="false" ht="15" hidden="false" customHeight="false" outlineLevel="0" collapsed="false">
      <c r="B37" s="16" t="s">
        <v>903</v>
      </c>
      <c r="C37" s="58" t="n">
        <f aca="false">$C$32-$C$35*$C$31</f>
        <v>0.0628754159876197</v>
      </c>
    </row>
    <row r="38" customFormat="false" ht="15" hidden="false" customHeight="false" outlineLevel="0" collapsed="false">
      <c r="B38" s="16" t="s">
        <v>904</v>
      </c>
      <c r="C38" s="58" t="n">
        <f aca="false">INTERCEPT($D$16:$D$27,$C$16:$C$27)</f>
        <v>0.0628754159876197</v>
      </c>
    </row>
    <row r="39" customFormat="false" ht="15" hidden="false" customHeight="false" outlineLevel="0" collapsed="false">
      <c r="B39" s="31" t="s">
        <v>905</v>
      </c>
      <c r="C39" s="59" t="n">
        <f aca="false">RSQ($D$16:$D$27,$C$16:$C$27)</f>
        <v>0.890726663037557</v>
      </c>
    </row>
    <row r="40" customFormat="false" ht="15" hidden="false" customHeight="false" outlineLevel="0" collapsed="false">
      <c r="B40" s="16" t="s">
        <v>906</v>
      </c>
      <c r="C40" s="58" t="n">
        <f aca="false">CORREL($C$16:$C$27,$D$16:$D$27)</f>
        <v>0.943783165264965</v>
      </c>
    </row>
    <row r="41" customFormat="false" ht="15" hidden="false" customHeight="false" outlineLevel="0" collapsed="false">
      <c r="B41" s="16" t="s">
        <v>907</v>
      </c>
      <c r="C41" s="54" t="n">
        <f aca="false">$C$37+$C$35*$C$28</f>
        <v>-6.43447458880565</v>
      </c>
    </row>
    <row r="43" customFormat="false" ht="15" hidden="false" customHeight="false" outlineLevel="0" collapsed="false">
      <c r="B43" s="43" t="s">
        <v>249</v>
      </c>
      <c r="C43" s="44"/>
      <c r="D43" s="44"/>
      <c r="E43" s="44"/>
      <c r="F43" s="44"/>
      <c r="G43" s="44"/>
      <c r="H43" s="44"/>
      <c r="I43" s="44"/>
    </row>
    <row r="44" customFormat="false" ht="43.5" hidden="false" customHeight="true" outlineLevel="0" collapsed="false">
      <c r="B44" s="47" t="s">
        <v>908</v>
      </c>
      <c r="C44" s="47"/>
      <c r="D44" s="47"/>
      <c r="E44" s="47"/>
      <c r="F44" s="47"/>
      <c r="G44" s="47"/>
      <c r="H44" s="47"/>
      <c r="I44" s="47"/>
    </row>
    <row r="45" customFormat="false" ht="16.5" hidden="false" customHeight="true" outlineLevel="0" collapsed="false">
      <c r="B45" s="48" t="s">
        <v>909</v>
      </c>
      <c r="C45" s="48"/>
      <c r="D45" s="48"/>
      <c r="E45" s="48"/>
      <c r="F45" s="48"/>
      <c r="G45" s="48"/>
      <c r="H45" s="48"/>
      <c r="I45" s="48"/>
    </row>
  </sheetData>
  <mergeCells count="8">
    <mergeCell ref="B5:I5"/>
    <mergeCell ref="B8:I8"/>
    <mergeCell ref="B9:I9"/>
    <mergeCell ref="B10:I10"/>
    <mergeCell ref="B11:I11"/>
    <mergeCell ref="B12:I12"/>
    <mergeCell ref="B44:I44"/>
    <mergeCell ref="B45:I45"/>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25" t="s">
        <v>910</v>
      </c>
      <c r="I1" s="26" t="s">
        <v>164</v>
      </c>
    </row>
    <row r="2" customFormat="false" ht="15" hidden="false" customHeight="false" outlineLevel="0" collapsed="false">
      <c r="B2" s="38" t="s">
        <v>911</v>
      </c>
    </row>
    <row r="4" customFormat="false" ht="15" hidden="false" customHeight="false" outlineLevel="0" collapsed="false">
      <c r="B4" s="27" t="s">
        <v>225</v>
      </c>
      <c r="C4" s="28"/>
      <c r="D4" s="28"/>
      <c r="E4" s="28"/>
      <c r="F4" s="28"/>
      <c r="G4" s="28"/>
      <c r="H4" s="28"/>
      <c r="I4" s="28"/>
    </row>
    <row r="5" customFormat="false" ht="30" hidden="false" customHeight="true" outlineLevel="0" collapsed="false">
      <c r="B5" s="29" t="s">
        <v>912</v>
      </c>
      <c r="C5" s="29"/>
      <c r="D5" s="29"/>
      <c r="E5" s="29"/>
      <c r="F5" s="29"/>
      <c r="G5" s="29"/>
      <c r="H5" s="29"/>
      <c r="I5" s="29"/>
    </row>
    <row r="7" customFormat="false" ht="15" hidden="false" customHeight="false" outlineLevel="0" collapsed="false">
      <c r="B7" s="27" t="s">
        <v>227</v>
      </c>
      <c r="C7" s="28"/>
      <c r="D7" s="28"/>
      <c r="E7" s="28"/>
      <c r="F7" s="28"/>
      <c r="G7" s="28"/>
      <c r="H7" s="28"/>
      <c r="I7" s="28"/>
    </row>
    <row r="8" customFormat="false" ht="30" hidden="false" customHeight="true" outlineLevel="0" collapsed="false">
      <c r="B8" s="29" t="s">
        <v>913</v>
      </c>
      <c r="C8" s="29"/>
      <c r="D8" s="29"/>
      <c r="E8" s="29"/>
      <c r="F8" s="29"/>
      <c r="G8" s="29"/>
      <c r="H8" s="29"/>
      <c r="I8" s="29"/>
    </row>
    <row r="9" customFormat="false" ht="16.5" hidden="false" customHeight="true" outlineLevel="0" collapsed="false">
      <c r="B9" s="29" t="s">
        <v>914</v>
      </c>
      <c r="C9" s="29"/>
      <c r="D9" s="29"/>
      <c r="E9" s="29"/>
      <c r="F9" s="29"/>
      <c r="G9" s="29"/>
      <c r="H9" s="29"/>
      <c r="I9" s="29"/>
    </row>
    <row r="10" customFormat="false" ht="16.5" hidden="false" customHeight="true" outlineLevel="0" collapsed="false">
      <c r="B10" s="29" t="s">
        <v>915</v>
      </c>
      <c r="C10" s="29"/>
      <c r="D10" s="29"/>
      <c r="E10" s="29"/>
      <c r="F10" s="29"/>
      <c r="G10" s="29"/>
      <c r="H10" s="29"/>
      <c r="I10" s="29"/>
    </row>
    <row r="11" customFormat="false" ht="30" hidden="false" customHeight="true" outlineLevel="0" collapsed="false">
      <c r="B11" s="29" t="s">
        <v>916</v>
      </c>
      <c r="C11" s="29"/>
      <c r="D11" s="29"/>
      <c r="E11" s="29"/>
      <c r="F11" s="29"/>
      <c r="G11" s="29"/>
      <c r="H11" s="29"/>
      <c r="I11" s="29"/>
    </row>
    <row r="12" customFormat="false" ht="16.5" hidden="false" customHeight="true" outlineLevel="0" collapsed="false">
      <c r="B12" s="29" t="s">
        <v>917</v>
      </c>
      <c r="C12" s="29"/>
      <c r="D12" s="29"/>
      <c r="E12" s="29"/>
      <c r="F12" s="29"/>
      <c r="G12" s="29"/>
      <c r="H12" s="29"/>
      <c r="I12" s="29"/>
    </row>
    <row r="14" customFormat="false" ht="15" hidden="false" customHeight="false" outlineLevel="0" collapsed="false">
      <c r="B14" s="27" t="s">
        <v>232</v>
      </c>
      <c r="C14" s="28"/>
      <c r="D14" s="28"/>
      <c r="E14" s="28"/>
      <c r="F14" s="28"/>
      <c r="G14" s="28"/>
      <c r="H14" s="28"/>
      <c r="I14" s="28"/>
    </row>
    <row r="15" customFormat="false" ht="15" hidden="false" customHeight="false" outlineLevel="0" collapsed="false">
      <c r="B15" s="12" t="s">
        <v>918</v>
      </c>
      <c r="C15" s="30" t="s">
        <v>919</v>
      </c>
      <c r="D15" s="30" t="s">
        <v>920</v>
      </c>
    </row>
    <row r="16" customFormat="false" ht="15" hidden="false" customHeight="false" outlineLevel="0" collapsed="false">
      <c r="B16" s="16" t="s">
        <v>921</v>
      </c>
      <c r="C16" s="53" t="n">
        <v>5.2</v>
      </c>
      <c r="D16" s="53" t="n">
        <v>1.12</v>
      </c>
    </row>
    <row r="17" customFormat="false" ht="15" hidden="false" customHeight="false" outlineLevel="0" collapsed="false">
      <c r="B17" s="16" t="s">
        <v>922</v>
      </c>
      <c r="C17" s="53" t="n">
        <v>-0.62</v>
      </c>
      <c r="D17" s="53" t="n">
        <v>0.14</v>
      </c>
    </row>
    <row r="18" customFormat="false" ht="15" hidden="false" customHeight="false" outlineLevel="0" collapsed="false">
      <c r="B18" s="16" t="s">
        <v>923</v>
      </c>
      <c r="C18" s="53" t="n">
        <v>0.45</v>
      </c>
      <c r="D18" s="53" t="n">
        <v>0.21</v>
      </c>
    </row>
    <row r="19" customFormat="false" ht="15" hidden="false" customHeight="false" outlineLevel="0" collapsed="false">
      <c r="B19" s="16" t="s">
        <v>924</v>
      </c>
      <c r="C19" s="53" t="n">
        <v>0.08</v>
      </c>
      <c r="D19" s="53" t="n">
        <v>0.06</v>
      </c>
    </row>
    <row r="21" customFormat="false" ht="15" hidden="false" customHeight="false" outlineLevel="0" collapsed="false">
      <c r="B21" s="12" t="s">
        <v>233</v>
      </c>
      <c r="C21" s="30" t="s">
        <v>18</v>
      </c>
    </row>
    <row r="22" customFormat="false" ht="15" hidden="false" customHeight="false" outlineLevel="0" collapsed="false">
      <c r="B22" s="16" t="s">
        <v>925</v>
      </c>
      <c r="C22" s="42" t="n">
        <v>40</v>
      </c>
    </row>
    <row r="23" customFormat="false" ht="15" hidden="false" customHeight="false" outlineLevel="0" collapsed="false">
      <c r="B23" s="16" t="s">
        <v>926</v>
      </c>
      <c r="C23" s="42" t="n">
        <v>3</v>
      </c>
    </row>
    <row r="24" customFormat="false" ht="15" hidden="false" customHeight="false" outlineLevel="0" collapsed="false">
      <c r="B24" s="16" t="s">
        <v>905</v>
      </c>
      <c r="C24" s="65" t="n">
        <v>0.71</v>
      </c>
    </row>
    <row r="25" customFormat="false" ht="15" hidden="false" customHeight="false" outlineLevel="0" collapsed="false">
      <c r="B25" s="16" t="s">
        <v>927</v>
      </c>
      <c r="C25" s="57" t="n">
        <v>0.05</v>
      </c>
    </row>
    <row r="27" customFormat="false" ht="15" hidden="false" customHeight="false" outlineLevel="0" collapsed="false">
      <c r="B27" s="12" t="s">
        <v>928</v>
      </c>
      <c r="C27" s="30" t="s">
        <v>929</v>
      </c>
      <c r="D27" s="30" t="s">
        <v>930</v>
      </c>
    </row>
    <row r="28" customFormat="false" ht="15" hidden="false" customHeight="false" outlineLevel="0" collapsed="false">
      <c r="B28" s="16" t="s">
        <v>922</v>
      </c>
      <c r="C28" s="53" t="n">
        <v>6.5</v>
      </c>
      <c r="D28" s="53" t="n">
        <v>3</v>
      </c>
    </row>
    <row r="29" customFormat="false" ht="15" hidden="false" customHeight="false" outlineLevel="0" collapsed="false">
      <c r="B29" s="16" t="s">
        <v>923</v>
      </c>
      <c r="C29" s="53" t="n">
        <v>6</v>
      </c>
      <c r="D29" s="53" t="n">
        <v>7</v>
      </c>
    </row>
    <row r="30" customFormat="false" ht="15" hidden="false" customHeight="false" outlineLevel="0" collapsed="false">
      <c r="B30" s="16" t="s">
        <v>931</v>
      </c>
      <c r="C30" s="53" t="n">
        <v>14</v>
      </c>
      <c r="D30" s="53" t="n">
        <v>14</v>
      </c>
    </row>
    <row r="32" customFormat="false" ht="15" hidden="false" customHeight="false" outlineLevel="0" collapsed="false">
      <c r="B32" s="43" t="s">
        <v>243</v>
      </c>
      <c r="C32" s="44"/>
      <c r="D32" s="44"/>
      <c r="E32" s="44"/>
      <c r="F32" s="44"/>
      <c r="G32" s="44"/>
      <c r="H32" s="44"/>
      <c r="I32" s="44"/>
    </row>
    <row r="33" customFormat="false" ht="15" hidden="false" customHeight="false" outlineLevel="0" collapsed="false">
      <c r="B33" s="16" t="s">
        <v>932</v>
      </c>
      <c r="C33" s="66" t="n">
        <f aca="false">$C$22-$C$23-1</f>
        <v>36</v>
      </c>
    </row>
    <row r="34" customFormat="false" ht="15" hidden="false" customHeight="false" outlineLevel="0" collapsed="false">
      <c r="B34" s="16" t="s">
        <v>933</v>
      </c>
      <c r="C34" s="58" t="n">
        <f aca="false">_xlfn.T.INV.2T($C$25,$C$33)</f>
        <v>2.02809400098045</v>
      </c>
    </row>
    <row r="35" customFormat="false" ht="15" hidden="false" customHeight="false" outlineLevel="0" collapsed="false">
      <c r="B35" s="12" t="s">
        <v>918</v>
      </c>
      <c r="C35" s="30" t="s">
        <v>934</v>
      </c>
      <c r="D35" s="30" t="s">
        <v>935</v>
      </c>
      <c r="E35" s="30" t="s">
        <v>936</v>
      </c>
    </row>
    <row r="36" customFormat="false" ht="15" hidden="false" customHeight="false" outlineLevel="0" collapsed="false">
      <c r="B36" s="16" t="str">
        <f aca="false">B16</f>
        <v>Intercept</v>
      </c>
      <c r="C36" s="58" t="n">
        <f aca="false">$C$16/$D$16</f>
        <v>4.64285714285714</v>
      </c>
      <c r="D36" s="58" t="n">
        <f aca="false">_xlfn.T.DIST.2T(ABS($C$36),$C$33)</f>
        <v>4.45052491407646E-005</v>
      </c>
      <c r="E36" s="56" t="str">
        <f aca="false">IF(ABS($C$36)&gt;$C$34,"Yes","No")</f>
        <v>Yes</v>
      </c>
    </row>
    <row r="37" customFormat="false" ht="15" hidden="false" customHeight="false" outlineLevel="0" collapsed="false">
      <c r="B37" s="16" t="str">
        <f aca="false">B17</f>
        <v>Real GDP growth (%)</v>
      </c>
      <c r="C37" s="58" t="n">
        <f aca="false">$C$17/$D$17</f>
        <v>-4.42857142857143</v>
      </c>
      <c r="D37" s="58" t="n">
        <f aca="false">_xlfn.T.DIST.2T(ABS($C$37),$C$33)</f>
        <v>8.48161182432796E-005</v>
      </c>
      <c r="E37" s="56" t="str">
        <f aca="false">IF(ABS($C$37)&gt;$C$34,"Yes","No")</f>
        <v>Yes</v>
      </c>
    </row>
    <row r="38" customFormat="false" ht="15" hidden="false" customHeight="false" outlineLevel="0" collapsed="false">
      <c r="B38" s="16" t="str">
        <f aca="false">B18</f>
        <v>Repo rate (%)</v>
      </c>
      <c r="C38" s="58" t="n">
        <f aca="false">$C$18/$D$18</f>
        <v>2.14285714285714</v>
      </c>
      <c r="D38" s="58" t="n">
        <f aca="false">_xlfn.T.DIST.2T(ABS($C$38),$C$33)</f>
        <v>0.038957310149708</v>
      </c>
      <c r="E38" s="56" t="str">
        <f aca="false">IF(ABS($C$38)&gt;$C$34,"Yes","No")</f>
        <v>Yes</v>
      </c>
    </row>
    <row r="39" customFormat="false" ht="15" hidden="false" customHeight="false" outlineLevel="0" collapsed="false">
      <c r="B39" s="16" t="str">
        <f aca="false">B19</f>
        <v>Credit growth, lagged 4Q (%)</v>
      </c>
      <c r="C39" s="58" t="n">
        <f aca="false">$C$19/$D$19</f>
        <v>1.33333333333333</v>
      </c>
      <c r="D39" s="58" t="n">
        <f aca="false">_xlfn.T.DIST.2T(ABS($C$39),$C$33)</f>
        <v>0.190798510713788</v>
      </c>
      <c r="E39" s="56" t="str">
        <f aca="false">IF(ABS($C$39)&gt;$C$34,"Yes","No")</f>
        <v>No</v>
      </c>
    </row>
    <row r="41" customFormat="false" ht="15" hidden="false" customHeight="false" outlineLevel="0" collapsed="false">
      <c r="B41" s="16" t="s">
        <v>838</v>
      </c>
      <c r="C41" s="58" t="n">
        <f aca="false">1-(1-$C$24)*($C$22-1)/$C$33</f>
        <v>0.685833333333333</v>
      </c>
    </row>
    <row r="42" customFormat="false" ht="15" hidden="false" customHeight="false" outlineLevel="0" collapsed="false">
      <c r="B42" s="16" t="s">
        <v>157</v>
      </c>
      <c r="C42" s="54" t="n">
        <f aca="false">($C$24/$C$23)/((1-$C$24)/$C$33)</f>
        <v>29.3793103448276</v>
      </c>
    </row>
    <row r="43" customFormat="false" ht="15" hidden="false" customHeight="false" outlineLevel="0" collapsed="false">
      <c r="B43" s="16" t="s">
        <v>937</v>
      </c>
      <c r="C43" s="72" t="n">
        <f aca="false">_xlfn.F.DIST.RT($C$42,$C$23,$C$33)</f>
        <v>8.75720408323389E-010</v>
      </c>
    </row>
    <row r="45" customFormat="false" ht="15" hidden="false" customHeight="false" outlineLevel="0" collapsed="false">
      <c r="B45" s="12" t="s">
        <v>938</v>
      </c>
      <c r="C45" s="30" t="s">
        <v>929</v>
      </c>
      <c r="D45" s="30" t="s">
        <v>930</v>
      </c>
    </row>
    <row r="46" customFormat="false" ht="15" hidden="false" customHeight="false" outlineLevel="0" collapsed="false">
      <c r="B46" s="31" t="s">
        <v>939</v>
      </c>
      <c r="C46" s="63" t="n">
        <f aca="false">$C$16+$C$17*$C$28+$C$18*$C$29+$C$19*$C$30</f>
        <v>4.99</v>
      </c>
      <c r="D46" s="63" t="n">
        <f aca="false">$C$16+$C$17*$D$28+$C$18*$D$29+$C$19*$D$30</f>
        <v>7.61</v>
      </c>
    </row>
    <row r="48" customFormat="false" ht="15" hidden="false" customHeight="false" outlineLevel="0" collapsed="false">
      <c r="B48" s="43" t="s">
        <v>249</v>
      </c>
      <c r="C48" s="44"/>
      <c r="D48" s="44"/>
      <c r="E48" s="44"/>
      <c r="F48" s="44"/>
      <c r="G48" s="44"/>
      <c r="H48" s="44"/>
      <c r="I48" s="44"/>
    </row>
    <row r="49" customFormat="false" ht="30" hidden="false" customHeight="true" outlineLevel="0" collapsed="false">
      <c r="B49" s="47" t="s">
        <v>940</v>
      </c>
      <c r="C49" s="47"/>
      <c r="D49" s="47"/>
      <c r="E49" s="47"/>
      <c r="F49" s="47"/>
      <c r="G49" s="47"/>
      <c r="H49" s="47"/>
      <c r="I49" s="47"/>
    </row>
    <row r="50" customFormat="false" ht="43.5" hidden="false" customHeight="true" outlineLevel="0" collapsed="false">
      <c r="B50" s="47" t="s">
        <v>941</v>
      </c>
      <c r="C50" s="47"/>
      <c r="D50" s="47"/>
      <c r="E50" s="47"/>
      <c r="F50" s="47"/>
      <c r="G50" s="47"/>
      <c r="H50" s="47"/>
      <c r="I50" s="47"/>
    </row>
    <row r="51" customFormat="false" ht="16.5" hidden="false" customHeight="true" outlineLevel="0" collapsed="false">
      <c r="B51" s="48" t="s">
        <v>942</v>
      </c>
      <c r="C51" s="48"/>
      <c r="D51" s="48"/>
      <c r="E51" s="48"/>
      <c r="F51" s="48"/>
      <c r="G51" s="48"/>
      <c r="H51" s="48"/>
      <c r="I51" s="48"/>
    </row>
  </sheetData>
  <mergeCells count="9">
    <mergeCell ref="B5:I5"/>
    <mergeCell ref="B8:I8"/>
    <mergeCell ref="B9:I9"/>
    <mergeCell ref="B10:I10"/>
    <mergeCell ref="B11:I11"/>
    <mergeCell ref="B12:I12"/>
    <mergeCell ref="B49:I49"/>
    <mergeCell ref="B50:I50"/>
    <mergeCell ref="B51:I51"/>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25" t="s">
        <v>943</v>
      </c>
      <c r="I1" s="26" t="s">
        <v>164</v>
      </c>
    </row>
    <row r="2" customFormat="false" ht="15" hidden="false" customHeight="false" outlineLevel="0" collapsed="false">
      <c r="B2" s="38" t="s">
        <v>944</v>
      </c>
    </row>
    <row r="4" customFormat="false" ht="15" hidden="false" customHeight="false" outlineLevel="0" collapsed="false">
      <c r="B4" s="27" t="s">
        <v>225</v>
      </c>
      <c r="C4" s="28"/>
      <c r="D4" s="28"/>
      <c r="E4" s="28"/>
      <c r="F4" s="28"/>
      <c r="G4" s="28"/>
      <c r="H4" s="28"/>
      <c r="I4" s="28"/>
    </row>
    <row r="5" customFormat="false" ht="43.5" hidden="false" customHeight="true" outlineLevel="0" collapsed="false">
      <c r="B5" s="29" t="s">
        <v>945</v>
      </c>
      <c r="C5" s="29"/>
      <c r="D5" s="29"/>
      <c r="E5" s="29"/>
      <c r="F5" s="29"/>
      <c r="G5" s="29"/>
      <c r="H5" s="29"/>
      <c r="I5" s="29"/>
    </row>
    <row r="7" customFormat="false" ht="15" hidden="false" customHeight="false" outlineLevel="0" collapsed="false">
      <c r="B7" s="27" t="s">
        <v>227</v>
      </c>
      <c r="C7" s="28"/>
      <c r="D7" s="28"/>
      <c r="E7" s="28"/>
      <c r="F7" s="28"/>
      <c r="G7" s="28"/>
      <c r="H7" s="28"/>
      <c r="I7" s="28"/>
    </row>
    <row r="8" customFormat="false" ht="16.5" hidden="false" customHeight="true" outlineLevel="0" collapsed="false">
      <c r="B8" s="29" t="s">
        <v>946</v>
      </c>
      <c r="C8" s="29"/>
      <c r="D8" s="29"/>
      <c r="E8" s="29"/>
      <c r="F8" s="29"/>
      <c r="G8" s="29"/>
      <c r="H8" s="29"/>
      <c r="I8" s="29"/>
    </row>
    <row r="9" customFormat="false" ht="16.5" hidden="false" customHeight="true" outlineLevel="0" collapsed="false">
      <c r="B9" s="29" t="s">
        <v>947</v>
      </c>
      <c r="C9" s="29"/>
      <c r="D9" s="29"/>
      <c r="E9" s="29"/>
      <c r="F9" s="29"/>
      <c r="G9" s="29"/>
      <c r="H9" s="29"/>
      <c r="I9" s="29"/>
    </row>
    <row r="10" customFormat="false" ht="16.5" hidden="false" customHeight="true" outlineLevel="0" collapsed="false">
      <c r="B10" s="29" t="s">
        <v>948</v>
      </c>
      <c r="C10" s="29"/>
      <c r="D10" s="29"/>
      <c r="E10" s="29"/>
      <c r="F10" s="29"/>
      <c r="G10" s="29"/>
      <c r="H10" s="29"/>
      <c r="I10" s="29"/>
    </row>
    <row r="11" customFormat="false" ht="16.5" hidden="false" customHeight="true" outlineLevel="0" collapsed="false">
      <c r="B11" s="29" t="s">
        <v>949</v>
      </c>
      <c r="C11" s="29"/>
      <c r="D11" s="29"/>
      <c r="E11" s="29"/>
      <c r="F11" s="29"/>
      <c r="G11" s="29"/>
      <c r="H11" s="29"/>
      <c r="I11" s="29"/>
    </row>
    <row r="13" customFormat="false" ht="15" hidden="false" customHeight="false" outlineLevel="0" collapsed="false">
      <c r="B13" s="27" t="s">
        <v>232</v>
      </c>
      <c r="C13" s="28"/>
      <c r="D13" s="28"/>
      <c r="E13" s="28"/>
      <c r="F13" s="28"/>
      <c r="G13" s="28"/>
      <c r="H13" s="28"/>
      <c r="I13" s="28"/>
    </row>
    <row r="14" customFormat="false" ht="15" hidden="false" customHeight="false" outlineLevel="0" collapsed="false">
      <c r="B14" s="12" t="s">
        <v>233</v>
      </c>
      <c r="C14" s="30" t="s">
        <v>18</v>
      </c>
    </row>
    <row r="15" customFormat="false" ht="15" hidden="false" customHeight="false" outlineLevel="0" collapsed="false">
      <c r="B15" s="16" t="s">
        <v>950</v>
      </c>
      <c r="C15" s="57" t="n">
        <v>0.06</v>
      </c>
    </row>
    <row r="16" customFormat="false" ht="15" hidden="false" customHeight="false" outlineLevel="0" collapsed="false">
      <c r="B16" s="16" t="s">
        <v>951</v>
      </c>
      <c r="C16" s="57" t="n">
        <v>0.075</v>
      </c>
    </row>
    <row r="17" customFormat="false" ht="15" hidden="false" customHeight="false" outlineLevel="0" collapsed="false">
      <c r="B17" s="16" t="s">
        <v>906</v>
      </c>
      <c r="C17" s="39" t="n">
        <v>0.82</v>
      </c>
    </row>
    <row r="18" customFormat="false" ht="15" hidden="false" customHeight="false" outlineLevel="0" collapsed="false">
      <c r="B18" s="16" t="s">
        <v>952</v>
      </c>
      <c r="C18" s="42" t="n">
        <v>2000000</v>
      </c>
    </row>
    <row r="19" customFormat="false" ht="15" hidden="false" customHeight="false" outlineLevel="0" collapsed="false">
      <c r="B19" s="16" t="s">
        <v>953</v>
      </c>
      <c r="C19" s="42" t="n">
        <v>1000</v>
      </c>
    </row>
    <row r="21" customFormat="false" ht="15" hidden="false" customHeight="false" outlineLevel="0" collapsed="false">
      <c r="B21" s="43" t="s">
        <v>243</v>
      </c>
      <c r="C21" s="44"/>
      <c r="D21" s="44"/>
      <c r="E21" s="44"/>
      <c r="F21" s="44"/>
      <c r="G21" s="44"/>
      <c r="H21" s="44"/>
      <c r="I21" s="44"/>
    </row>
    <row r="22" customFormat="false" ht="15" hidden="false" customHeight="false" outlineLevel="0" collapsed="false">
      <c r="B22" s="31" t="s">
        <v>847</v>
      </c>
      <c r="C22" s="59" t="n">
        <f aca="false">$C$17*$C$15/$C$16</f>
        <v>0.656</v>
      </c>
    </row>
    <row r="23" customFormat="false" ht="15" hidden="false" customHeight="false" outlineLevel="0" collapsed="false">
      <c r="B23" s="31" t="s">
        <v>954</v>
      </c>
      <c r="C23" s="62" t="n">
        <f aca="false">$C$22*$C$18/$C$19</f>
        <v>1312</v>
      </c>
    </row>
    <row r="24" customFormat="false" ht="15" hidden="false" customHeight="false" outlineLevel="0" collapsed="false">
      <c r="B24" s="16" t="s">
        <v>955</v>
      </c>
      <c r="C24" s="46" t="n">
        <f aca="false">$C$17^2</f>
        <v>0.6724</v>
      </c>
    </row>
    <row r="25" customFormat="false" ht="15" hidden="false" customHeight="false" outlineLevel="0" collapsed="false">
      <c r="B25" s="16" t="s">
        <v>956</v>
      </c>
      <c r="C25" s="46" t="n">
        <f aca="false">$C$15*SQRT(1-$C$17^2)</f>
        <v>0.03434181125101</v>
      </c>
    </row>
    <row r="26" customFormat="false" ht="15" hidden="false" customHeight="false" outlineLevel="0" collapsed="false">
      <c r="B26" s="16" t="s">
        <v>957</v>
      </c>
      <c r="C26" s="66" t="n">
        <f aca="false">$C$18/$C$19</f>
        <v>2000</v>
      </c>
    </row>
    <row r="27" customFormat="false" ht="15" hidden="false" customHeight="false" outlineLevel="0" collapsed="false">
      <c r="B27" s="16" t="s">
        <v>958</v>
      </c>
      <c r="C27" s="46" t="n">
        <f aca="false">SQRT($C$15^2+$C$16^2-2*$C$17*$C$15*$C$16)</f>
        <v>0.0429534631898291</v>
      </c>
    </row>
    <row r="29" customFormat="false" ht="15" hidden="false" customHeight="false" outlineLevel="0" collapsed="false">
      <c r="B29" s="43" t="s">
        <v>249</v>
      </c>
      <c r="C29" s="44"/>
      <c r="D29" s="44"/>
      <c r="E29" s="44"/>
      <c r="F29" s="44"/>
      <c r="G29" s="44"/>
      <c r="H29" s="44"/>
      <c r="I29" s="44"/>
    </row>
    <row r="30" customFormat="false" ht="30" hidden="false" customHeight="true" outlineLevel="0" collapsed="false">
      <c r="B30" s="47" t="s">
        <v>959</v>
      </c>
      <c r="C30" s="47"/>
      <c r="D30" s="47"/>
      <c r="E30" s="47"/>
      <c r="F30" s="47"/>
      <c r="G30" s="47"/>
      <c r="H30" s="47"/>
      <c r="I30" s="47"/>
    </row>
    <row r="31" customFormat="false" ht="16.5" hidden="false" customHeight="true" outlineLevel="0" collapsed="false">
      <c r="B31" s="48" t="s">
        <v>960</v>
      </c>
      <c r="C31" s="48"/>
      <c r="D31" s="48"/>
      <c r="E31" s="48"/>
      <c r="F31" s="48"/>
      <c r="G31" s="48"/>
      <c r="H31" s="48"/>
      <c r="I31" s="48"/>
    </row>
  </sheetData>
  <mergeCells count="7">
    <mergeCell ref="B5:I5"/>
    <mergeCell ref="B8:I8"/>
    <mergeCell ref="B9:I9"/>
    <mergeCell ref="B10:I10"/>
    <mergeCell ref="B11:I11"/>
    <mergeCell ref="B30:I30"/>
    <mergeCell ref="B31:I31"/>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25" t="s">
        <v>961</v>
      </c>
      <c r="I1" s="26" t="s">
        <v>164</v>
      </c>
    </row>
    <row r="2" customFormat="false" ht="15" hidden="false" customHeight="false" outlineLevel="0" collapsed="false">
      <c r="B2" s="38" t="s">
        <v>962</v>
      </c>
    </row>
    <row r="4" customFormat="false" ht="15" hidden="false" customHeight="false" outlineLevel="0" collapsed="false">
      <c r="B4" s="27" t="s">
        <v>225</v>
      </c>
      <c r="C4" s="28"/>
      <c r="D4" s="28"/>
      <c r="E4" s="28"/>
      <c r="F4" s="28"/>
      <c r="G4" s="28"/>
      <c r="H4" s="28"/>
      <c r="I4" s="28"/>
    </row>
    <row r="5" customFormat="false" ht="30" hidden="false" customHeight="true" outlineLevel="0" collapsed="false">
      <c r="B5" s="29" t="s">
        <v>963</v>
      </c>
      <c r="C5" s="29"/>
      <c r="D5" s="29"/>
      <c r="E5" s="29"/>
      <c r="F5" s="29"/>
      <c r="G5" s="29"/>
      <c r="H5" s="29"/>
      <c r="I5" s="29"/>
    </row>
    <row r="7" customFormat="false" ht="15" hidden="false" customHeight="false" outlineLevel="0" collapsed="false">
      <c r="B7" s="27" t="s">
        <v>227</v>
      </c>
      <c r="C7" s="28"/>
      <c r="D7" s="28"/>
      <c r="E7" s="28"/>
      <c r="F7" s="28"/>
      <c r="G7" s="28"/>
      <c r="H7" s="28"/>
      <c r="I7" s="28"/>
    </row>
    <row r="8" customFormat="false" ht="16.5" hidden="false" customHeight="true" outlineLevel="0" collapsed="false">
      <c r="B8" s="29" t="s">
        <v>964</v>
      </c>
      <c r="C8" s="29"/>
      <c r="D8" s="29"/>
      <c r="E8" s="29"/>
      <c r="F8" s="29"/>
      <c r="G8" s="29"/>
      <c r="H8" s="29"/>
      <c r="I8" s="29"/>
    </row>
    <row r="9" customFormat="false" ht="16.5" hidden="false" customHeight="true" outlineLevel="0" collapsed="false">
      <c r="B9" s="29" t="s">
        <v>965</v>
      </c>
      <c r="C9" s="29"/>
      <c r="D9" s="29"/>
      <c r="E9" s="29"/>
      <c r="F9" s="29"/>
      <c r="G9" s="29"/>
      <c r="H9" s="29"/>
      <c r="I9" s="29"/>
    </row>
    <row r="10" customFormat="false" ht="16.5" hidden="false" customHeight="true" outlineLevel="0" collapsed="false">
      <c r="B10" s="29" t="s">
        <v>966</v>
      </c>
      <c r="C10" s="29"/>
      <c r="D10" s="29"/>
      <c r="E10" s="29"/>
      <c r="F10" s="29"/>
      <c r="G10" s="29"/>
      <c r="H10" s="29"/>
      <c r="I10" s="29"/>
    </row>
    <row r="11" customFormat="false" ht="16.5" hidden="false" customHeight="true" outlineLevel="0" collapsed="false">
      <c r="B11" s="29" t="s">
        <v>967</v>
      </c>
      <c r="C11" s="29"/>
      <c r="D11" s="29"/>
      <c r="E11" s="29"/>
      <c r="F11" s="29"/>
      <c r="G11" s="29"/>
      <c r="H11" s="29"/>
      <c r="I11" s="29"/>
    </row>
    <row r="13" customFormat="false" ht="15" hidden="false" customHeight="false" outlineLevel="0" collapsed="false">
      <c r="B13" s="27" t="s">
        <v>232</v>
      </c>
      <c r="C13" s="28"/>
      <c r="D13" s="28"/>
      <c r="E13" s="28"/>
      <c r="F13" s="28"/>
      <c r="G13" s="28"/>
      <c r="H13" s="28"/>
      <c r="I13" s="28"/>
    </row>
    <row r="14" customFormat="false" ht="15" hidden="false" customHeight="false" outlineLevel="0" collapsed="false">
      <c r="B14" s="12" t="s">
        <v>968</v>
      </c>
      <c r="C14" s="30" t="s">
        <v>969</v>
      </c>
      <c r="D14" s="30" t="s">
        <v>970</v>
      </c>
      <c r="E14" s="30" t="s">
        <v>971</v>
      </c>
      <c r="F14" s="30" t="s">
        <v>972</v>
      </c>
      <c r="G14" s="30" t="s">
        <v>973</v>
      </c>
    </row>
    <row r="15" customFormat="false" ht="15" hidden="false" customHeight="false" outlineLevel="0" collapsed="false">
      <c r="B15" s="16" t="s">
        <v>974</v>
      </c>
      <c r="C15" s="73" t="n">
        <v>0.5</v>
      </c>
      <c r="D15" s="73" t="n">
        <v>0.18</v>
      </c>
      <c r="E15" s="53" t="n">
        <v>1</v>
      </c>
      <c r="F15" s="53" t="n">
        <v>0.1</v>
      </c>
      <c r="G15" s="53" t="n">
        <v>-0.15</v>
      </c>
    </row>
    <row r="16" customFormat="false" ht="15" hidden="false" customHeight="false" outlineLevel="0" collapsed="false">
      <c r="B16" s="16" t="s">
        <v>975</v>
      </c>
      <c r="C16" s="73" t="n">
        <v>0.3</v>
      </c>
      <c r="D16" s="73" t="n">
        <v>0.06</v>
      </c>
      <c r="E16" s="53" t="n">
        <v>0.1</v>
      </c>
      <c r="F16" s="53" t="n">
        <v>1</v>
      </c>
      <c r="G16" s="53" t="n">
        <v>0.2</v>
      </c>
    </row>
    <row r="17" customFormat="false" ht="15" hidden="false" customHeight="false" outlineLevel="0" collapsed="false">
      <c r="B17" s="16" t="s">
        <v>976</v>
      </c>
      <c r="C17" s="73" t="n">
        <v>0.2</v>
      </c>
      <c r="D17" s="73" t="n">
        <v>0.14</v>
      </c>
      <c r="E17" s="53" t="n">
        <v>-0.15</v>
      </c>
      <c r="F17" s="53" t="n">
        <v>0.2</v>
      </c>
      <c r="G17" s="53" t="n">
        <v>1</v>
      </c>
    </row>
    <row r="19" customFormat="false" ht="15" hidden="false" customHeight="false" outlineLevel="0" collapsed="false">
      <c r="B19" s="43" t="s">
        <v>243</v>
      </c>
      <c r="C19" s="44"/>
      <c r="D19" s="44"/>
      <c r="E19" s="44"/>
      <c r="F19" s="44"/>
      <c r="G19" s="44"/>
      <c r="H19" s="44"/>
      <c r="I19" s="44"/>
    </row>
    <row r="20" customFormat="false" ht="15" hidden="false" customHeight="false" outlineLevel="0" collapsed="false">
      <c r="B20" s="12" t="s">
        <v>977</v>
      </c>
      <c r="C20" s="30" t="s">
        <v>974</v>
      </c>
      <c r="D20" s="30" t="s">
        <v>975</v>
      </c>
      <c r="E20" s="30" t="s">
        <v>976</v>
      </c>
      <c r="F20" s="30" t="s">
        <v>978</v>
      </c>
    </row>
    <row r="21" customFormat="false" ht="15" hidden="false" customHeight="false" outlineLevel="0" collapsed="false">
      <c r="B21" s="16" t="s">
        <v>974</v>
      </c>
      <c r="C21" s="74" t="n">
        <f aca="false">$D$15*$D$15*$E$15</f>
        <v>0.0324</v>
      </c>
      <c r="D21" s="74" t="n">
        <f aca="false">$D$15*$D$16*$F$15</f>
        <v>0.00108</v>
      </c>
      <c r="E21" s="74" t="n">
        <f aca="false">$D$15*$D$17*$G$15</f>
        <v>-0.00378</v>
      </c>
      <c r="F21" s="74" t="n">
        <f aca="false">SUMPRODUCT($C$21:$E$21,$C$24:$E$24)</f>
        <v>0.015768</v>
      </c>
    </row>
    <row r="22" customFormat="false" ht="15" hidden="false" customHeight="false" outlineLevel="0" collapsed="false">
      <c r="B22" s="16" t="s">
        <v>975</v>
      </c>
      <c r="C22" s="74" t="n">
        <f aca="false">$D$16*$D$15*$E$16</f>
        <v>0.00108</v>
      </c>
      <c r="D22" s="74" t="n">
        <f aca="false">$D$16*$D$16*$F$16</f>
        <v>0.0036</v>
      </c>
      <c r="E22" s="74" t="n">
        <f aca="false">$D$16*$D$17*$G$16</f>
        <v>0.00168</v>
      </c>
      <c r="F22" s="74" t="n">
        <f aca="false">SUMPRODUCT($C$22:$E$22,$C$24:$E$24)</f>
        <v>0.001956</v>
      </c>
    </row>
    <row r="23" customFormat="false" ht="15" hidden="false" customHeight="false" outlineLevel="0" collapsed="false">
      <c r="B23" s="16" t="s">
        <v>976</v>
      </c>
      <c r="C23" s="74" t="n">
        <f aca="false">$D$17*$D$15*$E$17</f>
        <v>-0.00378</v>
      </c>
      <c r="D23" s="74" t="n">
        <f aca="false">$D$17*$D$16*$F$17</f>
        <v>0.00168</v>
      </c>
      <c r="E23" s="74" t="n">
        <f aca="false">$D$17*$D$17*$G$17</f>
        <v>0.0196</v>
      </c>
      <c r="F23" s="74" t="n">
        <f aca="false">SUMPRODUCT($C$23:$E$23,$C$24:$E$24)</f>
        <v>0.002534</v>
      </c>
    </row>
    <row r="24" customFormat="false" ht="15" hidden="false" customHeight="false" outlineLevel="0" collapsed="false">
      <c r="B24" s="16" t="s">
        <v>979</v>
      </c>
      <c r="C24" s="67" t="n">
        <f aca="false">$C$15</f>
        <v>0.5</v>
      </c>
      <c r="D24" s="67" t="n">
        <f aca="false">$C$16</f>
        <v>0.3</v>
      </c>
      <c r="E24" s="67" t="n">
        <f aca="false">$C$17</f>
        <v>0.2</v>
      </c>
    </row>
    <row r="26" customFormat="false" ht="15" hidden="false" customHeight="false" outlineLevel="0" collapsed="false">
      <c r="B26" s="16" t="s">
        <v>980</v>
      </c>
      <c r="C26" s="75" t="n">
        <f aca="false">SUMPRODUCT($C$15:$C$17,$F$21:$F$23)</f>
        <v>0.0089776</v>
      </c>
    </row>
    <row r="27" customFormat="false" ht="15" hidden="false" customHeight="false" outlineLevel="0" collapsed="false">
      <c r="B27" s="31" t="s">
        <v>141</v>
      </c>
      <c r="C27" s="68" t="n">
        <f aca="false">SQRT($C$26)</f>
        <v>0.0947501978889754</v>
      </c>
    </row>
    <row r="28" customFormat="false" ht="15" hidden="false" customHeight="false" outlineLevel="0" collapsed="false">
      <c r="B28" s="16" t="s">
        <v>981</v>
      </c>
      <c r="C28" s="46" t="n">
        <f aca="false">SUMPRODUCT($C$15:$C$17,$D$15:$D$17)</f>
        <v>0.136</v>
      </c>
    </row>
    <row r="30" customFormat="false" ht="15" hidden="false" customHeight="false" outlineLevel="0" collapsed="false">
      <c r="B30" s="12" t="s">
        <v>968</v>
      </c>
      <c r="C30" s="30" t="s">
        <v>982</v>
      </c>
      <c r="D30" s="30" t="s">
        <v>983</v>
      </c>
      <c r="E30" s="30" t="s">
        <v>984</v>
      </c>
    </row>
    <row r="31" customFormat="false" ht="15" hidden="false" customHeight="false" outlineLevel="0" collapsed="false">
      <c r="B31" s="16" t="s">
        <v>974</v>
      </c>
      <c r="C31" s="46" t="n">
        <f aca="false">$F$21/$C$27</f>
        <v>0.16641653897627</v>
      </c>
      <c r="D31" s="46" t="n">
        <f aca="false">$C$15*$C$31</f>
        <v>0.0832082694881351</v>
      </c>
      <c r="E31" s="67" t="n">
        <f aca="false">$D$31/$C$27</f>
        <v>0.878185706647656</v>
      </c>
    </row>
    <row r="32" customFormat="false" ht="15" hidden="false" customHeight="false" outlineLevel="0" collapsed="false">
      <c r="B32" s="16" t="s">
        <v>975</v>
      </c>
      <c r="C32" s="46" t="n">
        <f aca="false">$F$22/$C$27</f>
        <v>0.0206437563570259</v>
      </c>
      <c r="D32" s="46" t="n">
        <f aca="false">$C$16*$C$32</f>
        <v>0.00619312690710778</v>
      </c>
      <c r="E32" s="67" t="n">
        <f aca="false">$D$32/$C$27</f>
        <v>0.0653626804491178</v>
      </c>
    </row>
    <row r="33" customFormat="false" ht="15" hidden="false" customHeight="false" outlineLevel="0" collapsed="false">
      <c r="B33" s="16" t="s">
        <v>976</v>
      </c>
      <c r="C33" s="46" t="n">
        <f aca="false">$F$23/$C$27</f>
        <v>0.0267440074686624</v>
      </c>
      <c r="D33" s="46" t="n">
        <f aca="false">$C$17*$C$33</f>
        <v>0.00534880149373248</v>
      </c>
      <c r="E33" s="67" t="n">
        <f aca="false">$D$33/$C$27</f>
        <v>0.0564516129032258</v>
      </c>
    </row>
    <row r="35" customFormat="false" ht="15" hidden="false" customHeight="false" outlineLevel="0" collapsed="false">
      <c r="B35" s="43" t="s">
        <v>249</v>
      </c>
      <c r="C35" s="44"/>
      <c r="D35" s="44"/>
      <c r="E35" s="44"/>
      <c r="F35" s="44"/>
      <c r="G35" s="44"/>
      <c r="H35" s="44"/>
      <c r="I35" s="44"/>
    </row>
    <row r="36" customFormat="false" ht="30" hidden="false" customHeight="true" outlineLevel="0" collapsed="false">
      <c r="B36" s="47" t="s">
        <v>985</v>
      </c>
      <c r="C36" s="47"/>
      <c r="D36" s="47"/>
      <c r="E36" s="47"/>
      <c r="F36" s="47"/>
      <c r="G36" s="47"/>
      <c r="H36" s="47"/>
      <c r="I36" s="47"/>
    </row>
    <row r="37" customFormat="false" ht="16.5" hidden="false" customHeight="true" outlineLevel="0" collapsed="false">
      <c r="B37" s="48" t="s">
        <v>986</v>
      </c>
      <c r="C37" s="48"/>
      <c r="D37" s="48"/>
      <c r="E37" s="48"/>
      <c r="F37" s="48"/>
      <c r="G37" s="48"/>
      <c r="H37" s="48"/>
      <c r="I37" s="48"/>
    </row>
  </sheetData>
  <mergeCells count="7">
    <mergeCell ref="B5:I5"/>
    <mergeCell ref="B8:I8"/>
    <mergeCell ref="B9:I9"/>
    <mergeCell ref="B10:I10"/>
    <mergeCell ref="B11:I11"/>
    <mergeCell ref="B36:I36"/>
    <mergeCell ref="B37:I37"/>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25" t="s">
        <v>987</v>
      </c>
      <c r="I1" s="26" t="s">
        <v>164</v>
      </c>
    </row>
    <row r="2" customFormat="false" ht="15" hidden="false" customHeight="false" outlineLevel="0" collapsed="false">
      <c r="B2" s="38" t="s">
        <v>988</v>
      </c>
    </row>
    <row r="4" customFormat="false" ht="15" hidden="false" customHeight="false" outlineLevel="0" collapsed="false">
      <c r="B4" s="27" t="s">
        <v>225</v>
      </c>
      <c r="C4" s="28"/>
      <c r="D4" s="28"/>
      <c r="E4" s="28"/>
      <c r="F4" s="28"/>
      <c r="G4" s="28"/>
      <c r="H4" s="28"/>
      <c r="I4" s="28"/>
    </row>
    <row r="5" customFormat="false" ht="30" hidden="false" customHeight="true" outlineLevel="0" collapsed="false">
      <c r="B5" s="29" t="s">
        <v>989</v>
      </c>
      <c r="C5" s="29"/>
      <c r="D5" s="29"/>
      <c r="E5" s="29"/>
      <c r="F5" s="29"/>
      <c r="G5" s="29"/>
      <c r="H5" s="29"/>
      <c r="I5" s="29"/>
    </row>
    <row r="7" customFormat="false" ht="15" hidden="false" customHeight="false" outlineLevel="0" collapsed="false">
      <c r="B7" s="27" t="s">
        <v>227</v>
      </c>
      <c r="C7" s="28"/>
      <c r="D7" s="28"/>
      <c r="E7" s="28"/>
      <c r="F7" s="28"/>
      <c r="G7" s="28"/>
      <c r="H7" s="28"/>
      <c r="I7" s="28"/>
    </row>
    <row r="8" customFormat="false" ht="16.5" hidden="false" customHeight="true" outlineLevel="0" collapsed="false">
      <c r="B8" s="29" t="s">
        <v>990</v>
      </c>
      <c r="C8" s="29"/>
      <c r="D8" s="29"/>
      <c r="E8" s="29"/>
      <c r="F8" s="29"/>
      <c r="G8" s="29"/>
      <c r="H8" s="29"/>
      <c r="I8" s="29"/>
    </row>
    <row r="9" customFormat="false" ht="16.5" hidden="false" customHeight="true" outlineLevel="0" collapsed="false">
      <c r="B9" s="29" t="s">
        <v>991</v>
      </c>
      <c r="C9" s="29"/>
      <c r="D9" s="29"/>
      <c r="E9" s="29"/>
      <c r="F9" s="29"/>
      <c r="G9" s="29"/>
      <c r="H9" s="29"/>
      <c r="I9" s="29"/>
    </row>
    <row r="10" customFormat="false" ht="16.5" hidden="false" customHeight="true" outlineLevel="0" collapsed="false">
      <c r="B10" s="29" t="s">
        <v>992</v>
      </c>
      <c r="C10" s="29"/>
      <c r="D10" s="29"/>
      <c r="E10" s="29"/>
      <c r="F10" s="29"/>
      <c r="G10" s="29"/>
      <c r="H10" s="29"/>
      <c r="I10" s="29"/>
    </row>
    <row r="11" customFormat="false" ht="16.5" hidden="false" customHeight="true" outlineLevel="0" collapsed="false">
      <c r="B11" s="29" t="s">
        <v>993</v>
      </c>
      <c r="C11" s="29"/>
      <c r="D11" s="29"/>
      <c r="E11" s="29"/>
      <c r="F11" s="29"/>
      <c r="G11" s="29"/>
      <c r="H11" s="29"/>
      <c r="I11" s="29"/>
    </row>
    <row r="13" customFormat="false" ht="15" hidden="false" customHeight="false" outlineLevel="0" collapsed="false">
      <c r="B13" s="27" t="s">
        <v>232</v>
      </c>
      <c r="C13" s="28"/>
      <c r="D13" s="28"/>
      <c r="E13" s="28"/>
      <c r="F13" s="28"/>
      <c r="G13" s="28"/>
      <c r="H13" s="28"/>
      <c r="I13" s="28"/>
    </row>
    <row r="14" customFormat="false" ht="15" hidden="false" customHeight="false" outlineLevel="0" collapsed="false">
      <c r="B14" s="12" t="s">
        <v>233</v>
      </c>
      <c r="C14" s="30" t="s">
        <v>994</v>
      </c>
      <c r="D14" s="30" t="s">
        <v>995</v>
      </c>
    </row>
    <row r="15" customFormat="false" ht="15" hidden="false" customHeight="false" outlineLevel="0" collapsed="false">
      <c r="B15" s="16" t="s">
        <v>996</v>
      </c>
      <c r="C15" s="57" t="n">
        <v>0.15</v>
      </c>
    </row>
    <row r="16" customFormat="false" ht="15" hidden="false" customHeight="false" outlineLevel="0" collapsed="false">
      <c r="B16" s="16" t="s">
        <v>129</v>
      </c>
      <c r="C16" s="39" t="n">
        <v>1.3</v>
      </c>
      <c r="D16" s="39" t="n">
        <v>0.95</v>
      </c>
    </row>
    <row r="17" customFormat="false" ht="15" hidden="false" customHeight="false" outlineLevel="0" collapsed="false">
      <c r="B17" s="16" t="s">
        <v>997</v>
      </c>
      <c r="C17" s="57" t="n">
        <v>0.28</v>
      </c>
      <c r="D17" s="57" t="n">
        <v>0.152</v>
      </c>
    </row>
    <row r="19" customFormat="false" ht="15" hidden="false" customHeight="false" outlineLevel="0" collapsed="false">
      <c r="B19" s="43" t="s">
        <v>243</v>
      </c>
      <c r="C19" s="44"/>
      <c r="D19" s="44"/>
      <c r="E19" s="44"/>
      <c r="F19" s="44"/>
      <c r="G19" s="44"/>
      <c r="H19" s="44"/>
      <c r="I19" s="44"/>
    </row>
    <row r="20" customFormat="false" ht="15" hidden="false" customHeight="false" outlineLevel="0" collapsed="false">
      <c r="B20" s="12" t="s">
        <v>178</v>
      </c>
      <c r="C20" s="30" t="s">
        <v>994</v>
      </c>
      <c r="D20" s="30" t="s">
        <v>995</v>
      </c>
    </row>
    <row r="21" customFormat="false" ht="15" hidden="false" customHeight="false" outlineLevel="0" collapsed="false">
      <c r="B21" s="16" t="s">
        <v>998</v>
      </c>
      <c r="C21" s="75" t="n">
        <f aca="false">$C$17^2</f>
        <v>0.0784</v>
      </c>
      <c r="D21" s="75" t="n">
        <f aca="false">$D$17^2</f>
        <v>0.023104</v>
      </c>
    </row>
    <row r="22" customFormat="false" ht="15" hidden="false" customHeight="false" outlineLevel="0" collapsed="false">
      <c r="B22" s="16" t="s">
        <v>999</v>
      </c>
      <c r="C22" s="75" t="n">
        <f aca="false">$C$16^2*$C$15^2</f>
        <v>0.038025</v>
      </c>
      <c r="D22" s="75" t="n">
        <f aca="false">$D$16^2*$C$15^2</f>
        <v>0.02030625</v>
      </c>
    </row>
    <row r="23" customFormat="false" ht="15" hidden="false" customHeight="false" outlineLevel="0" collapsed="false">
      <c r="B23" s="16" t="s">
        <v>1000</v>
      </c>
      <c r="C23" s="75" t="n">
        <f aca="false">$C$21-$C$22</f>
        <v>0.040375</v>
      </c>
      <c r="D23" s="75" t="n">
        <f aca="false">$D$21-$D$22</f>
        <v>0.00279775</v>
      </c>
    </row>
    <row r="24" customFormat="false" ht="15" hidden="false" customHeight="false" outlineLevel="0" collapsed="false">
      <c r="B24" s="16" t="s">
        <v>1001</v>
      </c>
      <c r="C24" s="46" t="n">
        <f aca="false">SQRT($C$23)</f>
        <v>0.200935312974101</v>
      </c>
      <c r="D24" s="46" t="n">
        <f aca="false">SQRT($D$23)</f>
        <v>0.0528937614468852</v>
      </c>
    </row>
    <row r="25" customFormat="false" ht="15" hidden="false" customHeight="false" outlineLevel="0" collapsed="false">
      <c r="B25" s="31" t="s">
        <v>1002</v>
      </c>
      <c r="C25" s="76" t="n">
        <f aca="false">$C$22/$C$21</f>
        <v>0.485012755102041</v>
      </c>
      <c r="D25" s="76" t="n">
        <f aca="false">$D$22/$D$21</f>
        <v>0.87890625</v>
      </c>
    </row>
    <row r="26" customFormat="false" ht="15" hidden="false" customHeight="false" outlineLevel="0" collapsed="false">
      <c r="B26" s="16" t="s">
        <v>1003</v>
      </c>
      <c r="C26" s="67" t="n">
        <f aca="false">1-$C$25</f>
        <v>0.514987244897959</v>
      </c>
      <c r="D26" s="67" t="n">
        <f aca="false">1-$D$25</f>
        <v>0.12109375</v>
      </c>
    </row>
    <row r="42" customFormat="false" ht="15" hidden="false" customHeight="false" outlineLevel="0" collapsed="false">
      <c r="B42" s="43" t="s">
        <v>249</v>
      </c>
      <c r="C42" s="44"/>
      <c r="D42" s="44"/>
      <c r="E42" s="44"/>
      <c r="F42" s="44"/>
      <c r="G42" s="44"/>
      <c r="H42" s="44"/>
      <c r="I42" s="44"/>
    </row>
    <row r="43" customFormat="false" ht="30" hidden="false" customHeight="true" outlineLevel="0" collapsed="false">
      <c r="B43" s="47" t="s">
        <v>1004</v>
      </c>
      <c r="C43" s="47"/>
      <c r="D43" s="47"/>
      <c r="E43" s="47"/>
      <c r="F43" s="47"/>
      <c r="G43" s="47"/>
      <c r="H43" s="47"/>
      <c r="I43" s="47"/>
    </row>
    <row r="44" customFormat="false" ht="16.5" hidden="false" customHeight="true" outlineLevel="0" collapsed="false">
      <c r="B44" s="48" t="s">
        <v>1005</v>
      </c>
      <c r="C44" s="48"/>
      <c r="D44" s="48"/>
      <c r="E44" s="48"/>
      <c r="F44" s="48"/>
      <c r="G44" s="48"/>
      <c r="H44" s="48"/>
      <c r="I44" s="48"/>
    </row>
  </sheetData>
  <mergeCells count="7">
    <mergeCell ref="B5:I5"/>
    <mergeCell ref="B8:I8"/>
    <mergeCell ref="B9:I9"/>
    <mergeCell ref="B10:I10"/>
    <mergeCell ref="B11:I11"/>
    <mergeCell ref="B43:I43"/>
    <mergeCell ref="B44:I44"/>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25" t="s">
        <v>1006</v>
      </c>
      <c r="I1" s="26" t="s">
        <v>164</v>
      </c>
    </row>
    <row r="2" customFormat="false" ht="15" hidden="false" customHeight="false" outlineLevel="0" collapsed="false">
      <c r="B2" s="38" t="s">
        <v>1007</v>
      </c>
    </row>
    <row r="4" customFormat="false" ht="15" hidden="false" customHeight="false" outlineLevel="0" collapsed="false">
      <c r="B4" s="27" t="s">
        <v>225</v>
      </c>
      <c r="C4" s="28"/>
      <c r="D4" s="28"/>
      <c r="E4" s="28"/>
      <c r="F4" s="28"/>
      <c r="G4" s="28"/>
      <c r="H4" s="28"/>
      <c r="I4" s="28"/>
    </row>
    <row r="5" customFormat="false" ht="30" hidden="false" customHeight="true" outlineLevel="0" collapsed="false">
      <c r="B5" s="29" t="s">
        <v>1008</v>
      </c>
      <c r="C5" s="29"/>
      <c r="D5" s="29"/>
      <c r="E5" s="29"/>
      <c r="F5" s="29"/>
      <c r="G5" s="29"/>
      <c r="H5" s="29"/>
      <c r="I5" s="29"/>
    </row>
    <row r="7" customFormat="false" ht="15" hidden="false" customHeight="false" outlineLevel="0" collapsed="false">
      <c r="B7" s="27" t="s">
        <v>227</v>
      </c>
      <c r="C7" s="28"/>
      <c r="D7" s="28"/>
      <c r="E7" s="28"/>
      <c r="F7" s="28"/>
      <c r="G7" s="28"/>
      <c r="H7" s="28"/>
      <c r="I7" s="28"/>
    </row>
    <row r="8" customFormat="false" ht="16.5" hidden="false" customHeight="true" outlineLevel="0" collapsed="false">
      <c r="B8" s="29" t="s">
        <v>1009</v>
      </c>
      <c r="C8" s="29"/>
      <c r="D8" s="29"/>
      <c r="E8" s="29"/>
      <c r="F8" s="29"/>
      <c r="G8" s="29"/>
      <c r="H8" s="29"/>
      <c r="I8" s="29"/>
    </row>
    <row r="9" customFormat="false" ht="16.5" hidden="false" customHeight="true" outlineLevel="0" collapsed="false">
      <c r="B9" s="29" t="s">
        <v>1010</v>
      </c>
      <c r="C9" s="29"/>
      <c r="D9" s="29"/>
      <c r="E9" s="29"/>
      <c r="F9" s="29"/>
      <c r="G9" s="29"/>
      <c r="H9" s="29"/>
      <c r="I9" s="29"/>
    </row>
    <row r="10" customFormat="false" ht="16.5" hidden="false" customHeight="true" outlineLevel="0" collapsed="false">
      <c r="B10" s="29" t="s">
        <v>1011</v>
      </c>
      <c r="C10" s="29"/>
      <c r="D10" s="29"/>
      <c r="E10" s="29"/>
      <c r="F10" s="29"/>
      <c r="G10" s="29"/>
      <c r="H10" s="29"/>
      <c r="I10" s="29"/>
    </row>
    <row r="11" customFormat="false" ht="16.5" hidden="false" customHeight="true" outlineLevel="0" collapsed="false">
      <c r="B11" s="29" t="s">
        <v>1012</v>
      </c>
      <c r="C11" s="29"/>
      <c r="D11" s="29"/>
      <c r="E11" s="29"/>
      <c r="F11" s="29"/>
      <c r="G11" s="29"/>
      <c r="H11" s="29"/>
      <c r="I11" s="29"/>
    </row>
    <row r="13" customFormat="false" ht="15" hidden="false" customHeight="false" outlineLevel="0" collapsed="false">
      <c r="B13" s="27" t="s">
        <v>232</v>
      </c>
      <c r="C13" s="28"/>
      <c r="D13" s="28"/>
      <c r="E13" s="28"/>
      <c r="F13" s="28"/>
      <c r="G13" s="28"/>
      <c r="H13" s="28"/>
      <c r="I13" s="28"/>
    </row>
    <row r="14" customFormat="false" ht="15" hidden="false" customHeight="false" outlineLevel="0" collapsed="false">
      <c r="B14" s="12" t="s">
        <v>881</v>
      </c>
      <c r="C14" s="30" t="s">
        <v>1013</v>
      </c>
      <c r="D14" s="30" t="s">
        <v>1014</v>
      </c>
    </row>
    <row r="15" customFormat="false" ht="15" hidden="false" customHeight="false" outlineLevel="0" collapsed="false">
      <c r="B15" s="16" t="s">
        <v>884</v>
      </c>
      <c r="C15" s="53" t="n">
        <v>1.8</v>
      </c>
      <c r="D15" s="53" t="n">
        <v>3.5</v>
      </c>
    </row>
    <row r="16" customFormat="false" ht="15" hidden="false" customHeight="false" outlineLevel="0" collapsed="false">
      <c r="B16" s="16" t="s">
        <v>885</v>
      </c>
      <c r="C16" s="53" t="n">
        <v>2.2</v>
      </c>
      <c r="D16" s="53" t="n">
        <v>-2.8</v>
      </c>
    </row>
    <row r="17" customFormat="false" ht="15" hidden="false" customHeight="false" outlineLevel="0" collapsed="false">
      <c r="B17" s="16" t="s">
        <v>886</v>
      </c>
      <c r="C17" s="53" t="n">
        <v>-0.9</v>
      </c>
      <c r="D17" s="53" t="n">
        <v>4.9</v>
      </c>
    </row>
    <row r="18" customFormat="false" ht="15" hidden="false" customHeight="false" outlineLevel="0" collapsed="false">
      <c r="B18" s="16" t="s">
        <v>887</v>
      </c>
      <c r="C18" s="53" t="n">
        <v>1.5</v>
      </c>
      <c r="D18" s="53" t="n">
        <v>1.2</v>
      </c>
    </row>
    <row r="19" customFormat="false" ht="15" hidden="false" customHeight="false" outlineLevel="0" collapsed="false">
      <c r="B19" s="16" t="s">
        <v>888</v>
      </c>
      <c r="C19" s="53" t="n">
        <v>2.6</v>
      </c>
      <c r="D19" s="53" t="n">
        <v>-3.6</v>
      </c>
    </row>
    <row r="20" customFormat="false" ht="15" hidden="false" customHeight="false" outlineLevel="0" collapsed="false">
      <c r="B20" s="16" t="s">
        <v>889</v>
      </c>
      <c r="C20" s="53" t="n">
        <v>-1.2</v>
      </c>
      <c r="D20" s="53" t="n">
        <v>5.2</v>
      </c>
    </row>
    <row r="21" customFormat="false" ht="15" hidden="false" customHeight="false" outlineLevel="0" collapsed="false">
      <c r="B21" s="16" t="s">
        <v>890</v>
      </c>
      <c r="C21" s="53" t="n">
        <v>1.9</v>
      </c>
      <c r="D21" s="53" t="n">
        <v>2.1</v>
      </c>
    </row>
    <row r="22" customFormat="false" ht="15" hidden="false" customHeight="false" outlineLevel="0" collapsed="false">
      <c r="B22" s="16" t="s">
        <v>891</v>
      </c>
      <c r="C22" s="53" t="n">
        <v>0.7</v>
      </c>
      <c r="D22" s="53" t="n">
        <v>-1.9</v>
      </c>
    </row>
    <row r="23" customFormat="false" ht="15" hidden="false" customHeight="false" outlineLevel="0" collapsed="false">
      <c r="B23" s="16" t="s">
        <v>892</v>
      </c>
      <c r="C23" s="53" t="n">
        <v>2.4</v>
      </c>
      <c r="D23" s="53" t="n">
        <v>4.4</v>
      </c>
    </row>
    <row r="24" customFormat="false" ht="15" hidden="false" customHeight="false" outlineLevel="0" collapsed="false">
      <c r="B24" s="16" t="s">
        <v>893</v>
      </c>
      <c r="C24" s="53" t="n">
        <v>-0.5</v>
      </c>
      <c r="D24" s="53" t="n">
        <v>-2.2</v>
      </c>
    </row>
    <row r="25" customFormat="false" ht="15" hidden="false" customHeight="false" outlineLevel="0" collapsed="false">
      <c r="B25" s="16" t="s">
        <v>894</v>
      </c>
      <c r="C25" s="53" t="n">
        <v>1.6</v>
      </c>
      <c r="D25" s="53" t="n">
        <v>3.8</v>
      </c>
    </row>
    <row r="26" customFormat="false" ht="15" hidden="false" customHeight="false" outlineLevel="0" collapsed="false">
      <c r="B26" s="16" t="s">
        <v>895</v>
      </c>
      <c r="C26" s="53" t="n">
        <v>1.1</v>
      </c>
      <c r="D26" s="53" t="n">
        <v>0.6</v>
      </c>
    </row>
    <row r="27" customFormat="false" ht="15" hidden="false" customHeight="false" outlineLevel="0" collapsed="false">
      <c r="B27" s="16" t="s">
        <v>1015</v>
      </c>
      <c r="C27" s="39" t="n">
        <v>6.5</v>
      </c>
    </row>
    <row r="28" customFormat="false" ht="15" hidden="false" customHeight="false" outlineLevel="0" collapsed="false">
      <c r="B28" s="16" t="s">
        <v>1016</v>
      </c>
      <c r="C28" s="42" t="n">
        <v>12</v>
      </c>
    </row>
    <row r="30" customFormat="false" ht="15" hidden="false" customHeight="false" outlineLevel="0" collapsed="false">
      <c r="B30" s="43" t="s">
        <v>243</v>
      </c>
      <c r="C30" s="44"/>
      <c r="D30" s="44"/>
      <c r="E30" s="44"/>
      <c r="F30" s="44"/>
      <c r="G30" s="44"/>
      <c r="H30" s="44"/>
      <c r="I30" s="44"/>
    </row>
    <row r="31" customFormat="false" ht="15" hidden="false" customHeight="false" outlineLevel="0" collapsed="false">
      <c r="B31" s="12" t="s">
        <v>178</v>
      </c>
      <c r="C31" s="30" t="s">
        <v>1017</v>
      </c>
      <c r="D31" s="30" t="s">
        <v>1018</v>
      </c>
    </row>
    <row r="32" customFormat="false" ht="15" hidden="false" customHeight="false" outlineLevel="0" collapsed="false">
      <c r="B32" s="16" t="s">
        <v>1019</v>
      </c>
      <c r="C32" s="58" t="n">
        <f aca="false">AVERAGE($C$15:$C$26)</f>
        <v>1.1</v>
      </c>
      <c r="D32" s="58" t="n">
        <f aca="false">AVERAGE($D$15:$D$26)</f>
        <v>1.26666666666667</v>
      </c>
    </row>
    <row r="33" customFormat="false" ht="15" hidden="false" customHeight="false" outlineLevel="0" collapsed="false">
      <c r="B33" s="16" t="s">
        <v>841</v>
      </c>
      <c r="C33" s="58" t="n">
        <f aca="false">_xlfn.VAR.S($C$15:$C$26)</f>
        <v>1.7</v>
      </c>
      <c r="D33" s="58" t="n">
        <f aca="false">_xlfn.VAR.S($D$15:$D$26)</f>
        <v>10.3006060606061</v>
      </c>
    </row>
    <row r="34" customFormat="false" ht="15" hidden="false" customHeight="false" outlineLevel="0" collapsed="false">
      <c r="B34" s="16" t="s">
        <v>1020</v>
      </c>
      <c r="C34" s="58" t="n">
        <f aca="false">_xlfn.STDEV.S($C$15:$C$26)</f>
        <v>1.30384048104053</v>
      </c>
      <c r="D34" s="58" t="n">
        <f aca="false">_xlfn.STDEV.S($D$15:$D$26)</f>
        <v>3.20945572653777</v>
      </c>
    </row>
    <row r="35" customFormat="false" ht="15" hidden="false" customHeight="false" outlineLevel="0" collapsed="false">
      <c r="B35" s="16" t="s">
        <v>1021</v>
      </c>
      <c r="C35" s="54" t="n">
        <f aca="false">$C$32*$C$28</f>
        <v>13.2</v>
      </c>
      <c r="D35" s="54" t="n">
        <f aca="false">$D$32*$C$28</f>
        <v>15.2</v>
      </c>
    </row>
    <row r="36" customFormat="false" ht="15" hidden="false" customHeight="false" outlineLevel="0" collapsed="false">
      <c r="B36" s="16" t="s">
        <v>1022</v>
      </c>
      <c r="C36" s="54" t="n">
        <f aca="false">$C$34*SQRT($C$28)</f>
        <v>4.51663591625449</v>
      </c>
      <c r="D36" s="54" t="n">
        <f aca="false">$D$34*SQRT($C$28)</f>
        <v>11.1178807660126</v>
      </c>
    </row>
    <row r="37" customFormat="false" ht="15" hidden="false" customHeight="false" outlineLevel="0" collapsed="false">
      <c r="B37" s="31" t="s">
        <v>1023</v>
      </c>
      <c r="C37" s="59" t="n">
        <f aca="false">($C$35-$C$27)/$C$36</f>
        <v>1.48340493327966</v>
      </c>
      <c r="D37" s="59" t="n">
        <f aca="false">($D$35-$C$27)/$D$36</f>
        <v>0.78252323289848</v>
      </c>
    </row>
    <row r="38" customFormat="false" ht="15" hidden="false" customHeight="false" outlineLevel="0" collapsed="false">
      <c r="B38" s="16" t="s">
        <v>1024</v>
      </c>
      <c r="C38" s="58" t="n">
        <f aca="false">$C$34/$C$32</f>
        <v>1.18530952821866</v>
      </c>
      <c r="D38" s="58" t="n">
        <f aca="false">$D$34/$D$32</f>
        <v>2.53378083674034</v>
      </c>
    </row>
    <row r="40" customFormat="false" ht="15" hidden="false" customHeight="false" outlineLevel="0" collapsed="false">
      <c r="B40" s="43" t="s">
        <v>249</v>
      </c>
      <c r="C40" s="44"/>
      <c r="D40" s="44"/>
      <c r="E40" s="44"/>
      <c r="F40" s="44"/>
      <c r="G40" s="44"/>
      <c r="H40" s="44"/>
      <c r="I40" s="44"/>
    </row>
    <row r="41" customFormat="false" ht="43.5" hidden="false" customHeight="true" outlineLevel="0" collapsed="false">
      <c r="B41" s="47" t="s">
        <v>1025</v>
      </c>
      <c r="C41" s="47"/>
      <c r="D41" s="47"/>
      <c r="E41" s="47"/>
      <c r="F41" s="47"/>
      <c r="G41" s="47"/>
      <c r="H41" s="47"/>
      <c r="I41" s="47"/>
    </row>
    <row r="42" customFormat="false" ht="16.5" hidden="false" customHeight="true" outlineLevel="0" collapsed="false">
      <c r="B42" s="48" t="s">
        <v>1026</v>
      </c>
      <c r="C42" s="48"/>
      <c r="D42" s="48"/>
      <c r="E42" s="48"/>
      <c r="F42" s="48"/>
      <c r="G42" s="48"/>
      <c r="H42" s="48"/>
      <c r="I42" s="48"/>
    </row>
  </sheetData>
  <mergeCells count="7">
    <mergeCell ref="B5:I5"/>
    <mergeCell ref="B8:I8"/>
    <mergeCell ref="B9:I9"/>
    <mergeCell ref="B10:I10"/>
    <mergeCell ref="B11:I11"/>
    <mergeCell ref="B41:I41"/>
    <mergeCell ref="B42:I42"/>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25" t="s">
        <v>1027</v>
      </c>
      <c r="I1" s="26" t="s">
        <v>164</v>
      </c>
    </row>
    <row r="2" customFormat="false" ht="15" hidden="false" customHeight="false" outlineLevel="0" collapsed="false">
      <c r="B2" s="38" t="s">
        <v>1028</v>
      </c>
    </row>
    <row r="4" customFormat="false" ht="15" hidden="false" customHeight="false" outlineLevel="0" collapsed="false">
      <c r="B4" s="27" t="s">
        <v>225</v>
      </c>
      <c r="C4" s="28"/>
      <c r="D4" s="28"/>
      <c r="E4" s="28"/>
      <c r="F4" s="28"/>
      <c r="G4" s="28"/>
      <c r="H4" s="28"/>
      <c r="I4" s="28"/>
    </row>
    <row r="5" customFormat="false" ht="43.5" hidden="false" customHeight="true" outlineLevel="0" collapsed="false">
      <c r="B5" s="29" t="s">
        <v>1029</v>
      </c>
      <c r="C5" s="29"/>
      <c r="D5" s="29"/>
      <c r="E5" s="29"/>
      <c r="F5" s="29"/>
      <c r="G5" s="29"/>
      <c r="H5" s="29"/>
      <c r="I5" s="29"/>
    </row>
    <row r="7" customFormat="false" ht="15" hidden="false" customHeight="false" outlineLevel="0" collapsed="false">
      <c r="B7" s="27" t="s">
        <v>227</v>
      </c>
      <c r="C7" s="28"/>
      <c r="D7" s="28"/>
      <c r="E7" s="28"/>
      <c r="F7" s="28"/>
      <c r="G7" s="28"/>
      <c r="H7" s="28"/>
      <c r="I7" s="28"/>
    </row>
    <row r="8" customFormat="false" ht="16.5" hidden="false" customHeight="true" outlineLevel="0" collapsed="false">
      <c r="B8" s="29" t="s">
        <v>1030</v>
      </c>
      <c r="C8" s="29"/>
      <c r="D8" s="29"/>
      <c r="E8" s="29"/>
      <c r="F8" s="29"/>
      <c r="G8" s="29"/>
      <c r="H8" s="29"/>
      <c r="I8" s="29"/>
    </row>
    <row r="9" customFormat="false" ht="16.5" hidden="false" customHeight="true" outlineLevel="0" collapsed="false">
      <c r="B9" s="29" t="s">
        <v>1031</v>
      </c>
      <c r="C9" s="29"/>
      <c r="D9" s="29"/>
      <c r="E9" s="29"/>
      <c r="F9" s="29"/>
      <c r="G9" s="29"/>
      <c r="H9" s="29"/>
      <c r="I9" s="29"/>
    </row>
    <row r="10" customFormat="false" ht="16.5" hidden="false" customHeight="true" outlineLevel="0" collapsed="false">
      <c r="B10" s="29" t="s">
        <v>1032</v>
      </c>
      <c r="C10" s="29"/>
      <c r="D10" s="29"/>
      <c r="E10" s="29"/>
      <c r="F10" s="29"/>
      <c r="G10" s="29"/>
      <c r="H10" s="29"/>
      <c r="I10" s="29"/>
    </row>
    <row r="11" customFormat="false" ht="16.5" hidden="false" customHeight="true" outlineLevel="0" collapsed="false">
      <c r="B11" s="29" t="s">
        <v>1033</v>
      </c>
      <c r="C11" s="29"/>
      <c r="D11" s="29"/>
      <c r="E11" s="29"/>
      <c r="F11" s="29"/>
      <c r="G11" s="29"/>
      <c r="H11" s="29"/>
      <c r="I11" s="29"/>
    </row>
    <row r="12" customFormat="false" ht="16.5" hidden="false" customHeight="true" outlineLevel="0" collapsed="false">
      <c r="B12" s="29" t="s">
        <v>1034</v>
      </c>
      <c r="C12" s="29"/>
      <c r="D12" s="29"/>
      <c r="E12" s="29"/>
      <c r="F12" s="29"/>
      <c r="G12" s="29"/>
      <c r="H12" s="29"/>
      <c r="I12" s="29"/>
    </row>
    <row r="14" customFormat="false" ht="15" hidden="false" customHeight="false" outlineLevel="0" collapsed="false">
      <c r="B14" s="27" t="s">
        <v>232</v>
      </c>
      <c r="C14" s="28"/>
      <c r="D14" s="28"/>
      <c r="E14" s="28"/>
      <c r="F14" s="28"/>
      <c r="G14" s="28"/>
      <c r="H14" s="28"/>
      <c r="I14" s="28"/>
    </row>
    <row r="15" customFormat="false" ht="15" hidden="false" customHeight="false" outlineLevel="0" collapsed="false">
      <c r="B15" s="12" t="s">
        <v>881</v>
      </c>
      <c r="C15" s="30" t="s">
        <v>1035</v>
      </c>
      <c r="D15" s="30" t="s">
        <v>1036</v>
      </c>
    </row>
    <row r="16" customFormat="false" ht="15" hidden="false" customHeight="false" outlineLevel="0" collapsed="false">
      <c r="B16" s="16" t="s">
        <v>884</v>
      </c>
      <c r="C16" s="53" t="n">
        <v>12</v>
      </c>
      <c r="D16" s="53" t="n">
        <v>9.8</v>
      </c>
    </row>
    <row r="17" customFormat="false" ht="15" hidden="false" customHeight="false" outlineLevel="0" collapsed="false">
      <c r="B17" s="16" t="s">
        <v>885</v>
      </c>
      <c r="C17" s="53" t="n">
        <v>15</v>
      </c>
      <c r="D17" s="53" t="n">
        <v>11.6</v>
      </c>
    </row>
    <row r="18" customFormat="false" ht="15" hidden="false" customHeight="false" outlineLevel="0" collapsed="false">
      <c r="B18" s="16" t="s">
        <v>886</v>
      </c>
      <c r="C18" s="53" t="n">
        <v>10</v>
      </c>
      <c r="D18" s="53" t="n">
        <v>8.7</v>
      </c>
    </row>
    <row r="19" customFormat="false" ht="15" hidden="false" customHeight="false" outlineLevel="0" collapsed="false">
      <c r="B19" s="16" t="s">
        <v>887</v>
      </c>
      <c r="C19" s="53" t="n">
        <v>18</v>
      </c>
      <c r="D19" s="53" t="n">
        <v>12.4</v>
      </c>
    </row>
    <row r="20" customFormat="false" ht="15" hidden="false" customHeight="false" outlineLevel="0" collapsed="false">
      <c r="B20" s="16" t="s">
        <v>888</v>
      </c>
      <c r="C20" s="53" t="n">
        <v>14</v>
      </c>
      <c r="D20" s="53" t="n">
        <v>11.2</v>
      </c>
    </row>
    <row r="21" customFormat="false" ht="15" hidden="false" customHeight="false" outlineLevel="0" collapsed="false">
      <c r="B21" s="16" t="s">
        <v>889</v>
      </c>
      <c r="C21" s="53" t="n">
        <v>20</v>
      </c>
      <c r="D21" s="53" t="n">
        <v>13.9</v>
      </c>
    </row>
    <row r="22" customFormat="false" ht="15" hidden="false" customHeight="false" outlineLevel="0" collapsed="false">
      <c r="B22" s="16" t="s">
        <v>890</v>
      </c>
      <c r="C22" s="53" t="n">
        <v>16</v>
      </c>
      <c r="D22" s="53" t="n">
        <v>11.5</v>
      </c>
    </row>
    <row r="23" customFormat="false" ht="15" hidden="false" customHeight="false" outlineLevel="0" collapsed="false">
      <c r="B23" s="16" t="s">
        <v>891</v>
      </c>
      <c r="C23" s="53" t="n">
        <v>11</v>
      </c>
      <c r="D23" s="53" t="n">
        <v>9.6</v>
      </c>
    </row>
    <row r="25" customFormat="false" ht="15" hidden="false" customHeight="false" outlineLevel="0" collapsed="false">
      <c r="B25" s="12" t="s">
        <v>233</v>
      </c>
      <c r="C25" s="30" t="s">
        <v>18</v>
      </c>
    </row>
    <row r="26" customFormat="false" ht="15" hidden="false" customHeight="false" outlineLevel="0" collapsed="false">
      <c r="B26" s="16" t="s">
        <v>1037</v>
      </c>
      <c r="C26" s="39" t="n">
        <v>17</v>
      </c>
    </row>
    <row r="27" customFormat="false" ht="15" hidden="false" customHeight="false" outlineLevel="0" collapsed="false">
      <c r="B27" s="16" t="s">
        <v>1038</v>
      </c>
      <c r="C27" s="39" t="n">
        <v>19</v>
      </c>
    </row>
    <row r="28" customFormat="false" ht="15" hidden="false" customHeight="false" outlineLevel="0" collapsed="false">
      <c r="B28" s="16" t="s">
        <v>1039</v>
      </c>
      <c r="C28" s="39" t="n">
        <v>13.9</v>
      </c>
    </row>
    <row r="29" customFormat="false" ht="15" hidden="false" customHeight="false" outlineLevel="0" collapsed="false">
      <c r="B29" s="16" t="s">
        <v>1040</v>
      </c>
      <c r="C29" s="42" t="n">
        <v>100000</v>
      </c>
    </row>
    <row r="31" customFormat="false" ht="15" hidden="false" customHeight="false" outlineLevel="0" collapsed="false">
      <c r="B31" s="43" t="s">
        <v>243</v>
      </c>
      <c r="C31" s="44"/>
      <c r="D31" s="44"/>
      <c r="E31" s="44"/>
      <c r="F31" s="44"/>
      <c r="G31" s="44"/>
      <c r="H31" s="44"/>
      <c r="I31" s="44"/>
    </row>
    <row r="32" customFormat="false" ht="15" hidden="false" customHeight="false" outlineLevel="0" collapsed="false">
      <c r="B32" s="16" t="s">
        <v>1041</v>
      </c>
      <c r="C32" s="58" t="n">
        <f aca="false">SLOPE($D$16:$D$23,$C$16:$C$23)</f>
        <v>0.476785714285714</v>
      </c>
    </row>
    <row r="33" customFormat="false" ht="15" hidden="false" customHeight="false" outlineLevel="0" collapsed="false">
      <c r="B33" s="16" t="s">
        <v>1042</v>
      </c>
      <c r="C33" s="58" t="n">
        <f aca="false">INTERCEPT($D$16:$D$23,$C$16:$C$23)</f>
        <v>4.17410714285714</v>
      </c>
    </row>
    <row r="34" customFormat="false" ht="15" hidden="false" customHeight="false" outlineLevel="0" collapsed="false">
      <c r="B34" s="16" t="s">
        <v>905</v>
      </c>
      <c r="C34" s="58" t="n">
        <f aca="false">RSQ($D$16:$D$23,$C$16:$C$23)</f>
        <v>0.971831177919352</v>
      </c>
    </row>
    <row r="35" customFormat="false" ht="15" hidden="false" customHeight="false" outlineLevel="0" collapsed="false">
      <c r="B35" s="16" t="s">
        <v>1043</v>
      </c>
      <c r="C35" s="54" t="n">
        <f aca="false">$C$32*$C$29/1000</f>
        <v>47.6785714285714</v>
      </c>
    </row>
    <row r="36" customFormat="false" ht="15" hidden="false" customHeight="false" outlineLevel="0" collapsed="false">
      <c r="B36" s="16" t="s">
        <v>1044</v>
      </c>
      <c r="C36" s="58" t="n">
        <f aca="false">$C$33+$C$32*$C$26</f>
        <v>12.2794642857143</v>
      </c>
    </row>
    <row r="37" customFormat="false" ht="15" hidden="false" customHeight="false" outlineLevel="0" collapsed="false">
      <c r="B37" s="16" t="s">
        <v>1045</v>
      </c>
      <c r="C37" s="58" t="n">
        <f aca="false">$C$33+$C$32*$C$27</f>
        <v>13.2330357142857</v>
      </c>
    </row>
    <row r="38" customFormat="false" ht="15" hidden="false" customHeight="false" outlineLevel="0" collapsed="false">
      <c r="B38" s="16" t="s">
        <v>1046</v>
      </c>
      <c r="C38" s="58" t="n">
        <f aca="false">$C$37-$C$36</f>
        <v>0.953571428571429</v>
      </c>
    </row>
    <row r="39" customFormat="false" ht="15" hidden="false" customHeight="false" outlineLevel="0" collapsed="false">
      <c r="B39" s="16" t="s">
        <v>1047</v>
      </c>
      <c r="C39" s="56" t="str">
        <f aca="false">IF($C$38&gt;0,"Adverse","Favourable")</f>
        <v>Adverse</v>
      </c>
    </row>
    <row r="40" customFormat="false" ht="15" hidden="false" customHeight="false" outlineLevel="0" collapsed="false">
      <c r="B40" s="31" t="s">
        <v>153</v>
      </c>
      <c r="C40" s="59" t="n">
        <f aca="false">$C$28-$C$37</f>
        <v>0.666964285714284</v>
      </c>
    </row>
    <row r="41" customFormat="false" ht="15" hidden="false" customHeight="false" outlineLevel="0" collapsed="false">
      <c r="B41" s="16" t="s">
        <v>1047</v>
      </c>
      <c r="C41" s="56" t="str">
        <f aca="false">IF($C$40&gt;0,"Adverse","Favourable")</f>
        <v>Adverse</v>
      </c>
    </row>
    <row r="42" customFormat="false" ht="15" hidden="false" customHeight="false" outlineLevel="0" collapsed="false">
      <c r="B42" s="16" t="s">
        <v>1048</v>
      </c>
      <c r="C42" s="58" t="n">
        <f aca="false">$C$28-$C$36</f>
        <v>1.62053571428571</v>
      </c>
    </row>
    <row r="44" customFormat="false" ht="15" hidden="false" customHeight="false" outlineLevel="0" collapsed="false">
      <c r="B44" s="43" t="s">
        <v>249</v>
      </c>
      <c r="C44" s="44"/>
      <c r="D44" s="44"/>
      <c r="E44" s="44"/>
      <c r="F44" s="44"/>
      <c r="G44" s="44"/>
      <c r="H44" s="44"/>
      <c r="I44" s="44"/>
    </row>
    <row r="45" customFormat="false" ht="43.5" hidden="false" customHeight="true" outlineLevel="0" collapsed="false">
      <c r="B45" s="47" t="s">
        <v>1049</v>
      </c>
      <c r="C45" s="47"/>
      <c r="D45" s="47"/>
      <c r="E45" s="47"/>
      <c r="F45" s="47"/>
      <c r="G45" s="47"/>
      <c r="H45" s="47"/>
      <c r="I45" s="47"/>
    </row>
    <row r="46" customFormat="false" ht="16.5" hidden="false" customHeight="true" outlineLevel="0" collapsed="false">
      <c r="B46" s="48" t="s">
        <v>1050</v>
      </c>
      <c r="C46" s="48"/>
      <c r="D46" s="48"/>
      <c r="E46" s="48"/>
      <c r="F46" s="48"/>
      <c r="G46" s="48"/>
      <c r="H46" s="48"/>
      <c r="I46" s="48"/>
    </row>
  </sheetData>
  <mergeCells count="8">
    <mergeCell ref="B5:I5"/>
    <mergeCell ref="B8:I8"/>
    <mergeCell ref="B9:I9"/>
    <mergeCell ref="B10:I10"/>
    <mergeCell ref="B11:I11"/>
    <mergeCell ref="B12:I12"/>
    <mergeCell ref="B45:I45"/>
    <mergeCell ref="B46:I46"/>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25" t="s">
        <v>1051</v>
      </c>
      <c r="I1" s="26" t="s">
        <v>164</v>
      </c>
    </row>
    <row r="2" customFormat="false" ht="15" hidden="false" customHeight="false" outlineLevel="0" collapsed="false">
      <c r="B2" s="38" t="s">
        <v>1052</v>
      </c>
    </row>
    <row r="4" customFormat="false" ht="15" hidden="false" customHeight="false" outlineLevel="0" collapsed="false">
      <c r="B4" s="27" t="s">
        <v>225</v>
      </c>
      <c r="C4" s="28"/>
      <c r="D4" s="28"/>
      <c r="E4" s="28"/>
      <c r="F4" s="28"/>
      <c r="G4" s="28"/>
      <c r="H4" s="28"/>
      <c r="I4" s="28"/>
    </row>
    <row r="5" customFormat="false" ht="30" hidden="false" customHeight="true" outlineLevel="0" collapsed="false">
      <c r="B5" s="29" t="s">
        <v>1053</v>
      </c>
      <c r="C5" s="29"/>
      <c r="D5" s="29"/>
      <c r="E5" s="29"/>
      <c r="F5" s="29"/>
      <c r="G5" s="29"/>
      <c r="H5" s="29"/>
      <c r="I5" s="29"/>
    </row>
    <row r="7" customFormat="false" ht="15" hidden="false" customHeight="false" outlineLevel="0" collapsed="false">
      <c r="B7" s="27" t="s">
        <v>227</v>
      </c>
      <c r="C7" s="28"/>
      <c r="D7" s="28"/>
      <c r="E7" s="28"/>
      <c r="F7" s="28"/>
      <c r="G7" s="28"/>
      <c r="H7" s="28"/>
      <c r="I7" s="28"/>
    </row>
    <row r="8" customFormat="false" ht="16.5" hidden="false" customHeight="true" outlineLevel="0" collapsed="false">
      <c r="B8" s="29" t="s">
        <v>1054</v>
      </c>
      <c r="C8" s="29"/>
      <c r="D8" s="29"/>
      <c r="E8" s="29"/>
      <c r="F8" s="29"/>
      <c r="G8" s="29"/>
      <c r="H8" s="29"/>
      <c r="I8" s="29"/>
    </row>
    <row r="9" customFormat="false" ht="16.5" hidden="false" customHeight="true" outlineLevel="0" collapsed="false">
      <c r="B9" s="29" t="s">
        <v>1055</v>
      </c>
      <c r="C9" s="29"/>
      <c r="D9" s="29"/>
      <c r="E9" s="29"/>
      <c r="F9" s="29"/>
      <c r="G9" s="29"/>
      <c r="H9" s="29"/>
      <c r="I9" s="29"/>
    </row>
    <row r="10" customFormat="false" ht="16.5" hidden="false" customHeight="true" outlineLevel="0" collapsed="false">
      <c r="B10" s="29" t="s">
        <v>1056</v>
      </c>
      <c r="C10" s="29"/>
      <c r="D10" s="29"/>
      <c r="E10" s="29"/>
      <c r="F10" s="29"/>
      <c r="G10" s="29"/>
      <c r="H10" s="29"/>
      <c r="I10" s="29"/>
    </row>
    <row r="11" customFormat="false" ht="16.5" hidden="false" customHeight="true" outlineLevel="0" collapsed="false">
      <c r="B11" s="29" t="s">
        <v>1057</v>
      </c>
      <c r="C11" s="29"/>
      <c r="D11" s="29"/>
      <c r="E11" s="29"/>
      <c r="F11" s="29"/>
      <c r="G11" s="29"/>
      <c r="H11" s="29"/>
      <c r="I11" s="29"/>
    </row>
    <row r="13" customFormat="false" ht="15" hidden="false" customHeight="false" outlineLevel="0" collapsed="false">
      <c r="B13" s="27" t="s">
        <v>232</v>
      </c>
      <c r="C13" s="28"/>
      <c r="D13" s="28"/>
      <c r="E13" s="28"/>
      <c r="F13" s="28"/>
      <c r="G13" s="28"/>
      <c r="H13" s="28"/>
      <c r="I13" s="28"/>
    </row>
    <row r="14" customFormat="false" ht="15" hidden="false" customHeight="false" outlineLevel="0" collapsed="false">
      <c r="B14" s="12" t="s">
        <v>233</v>
      </c>
      <c r="C14" s="30" t="s">
        <v>18</v>
      </c>
    </row>
    <row r="15" customFormat="false" ht="15" hidden="false" customHeight="false" outlineLevel="0" collapsed="false">
      <c r="B15" s="16" t="s">
        <v>1058</v>
      </c>
      <c r="C15" s="42" t="n">
        <v>60</v>
      </c>
    </row>
    <row r="16" customFormat="false" ht="15" hidden="false" customHeight="false" outlineLevel="0" collapsed="false">
      <c r="B16" s="16" t="s">
        <v>1059</v>
      </c>
      <c r="C16" s="42" t="n">
        <v>2</v>
      </c>
    </row>
    <row r="17" customFormat="false" ht="15" hidden="false" customHeight="false" outlineLevel="0" collapsed="false">
      <c r="B17" s="16" t="s">
        <v>1060</v>
      </c>
      <c r="C17" s="39" t="n">
        <v>450</v>
      </c>
    </row>
    <row r="18" customFormat="false" ht="15" hidden="false" customHeight="false" outlineLevel="0" collapsed="false">
      <c r="B18" s="16" t="s">
        <v>1061</v>
      </c>
      <c r="C18" s="39" t="n">
        <v>315</v>
      </c>
    </row>
    <row r="19" customFormat="false" ht="15" hidden="false" customHeight="false" outlineLevel="0" collapsed="false">
      <c r="B19" s="16" t="s">
        <v>927</v>
      </c>
      <c r="C19" s="57" t="n">
        <v>0.05</v>
      </c>
    </row>
    <row r="21" customFormat="false" ht="15" hidden="false" customHeight="false" outlineLevel="0" collapsed="false">
      <c r="B21" s="43" t="s">
        <v>243</v>
      </c>
      <c r="C21" s="44"/>
      <c r="D21" s="44"/>
      <c r="E21" s="44"/>
      <c r="F21" s="44"/>
      <c r="G21" s="44"/>
      <c r="H21" s="44"/>
      <c r="I21" s="44"/>
    </row>
    <row r="22" customFormat="false" ht="15" hidden="false" customHeight="false" outlineLevel="0" collapsed="false">
      <c r="B22" s="16" t="s">
        <v>1062</v>
      </c>
      <c r="C22" s="54" t="n">
        <f aca="false">$C$17-$C$18</f>
        <v>135</v>
      </c>
    </row>
    <row r="23" customFormat="false" ht="15" hidden="false" customHeight="false" outlineLevel="0" collapsed="false">
      <c r="B23" s="16" t="s">
        <v>1063</v>
      </c>
      <c r="C23" s="66" t="n">
        <f aca="false">$C$16</f>
        <v>2</v>
      </c>
    </row>
    <row r="24" customFormat="false" ht="15" hidden="false" customHeight="false" outlineLevel="0" collapsed="false">
      <c r="B24" s="16" t="s">
        <v>1064</v>
      </c>
      <c r="C24" s="66" t="n">
        <f aca="false">$C$15-$C$16-1</f>
        <v>57</v>
      </c>
    </row>
    <row r="25" customFormat="false" ht="15" hidden="false" customHeight="false" outlineLevel="0" collapsed="false">
      <c r="B25" s="16" t="s">
        <v>1065</v>
      </c>
      <c r="C25" s="66" t="n">
        <f aca="false">$C$15-1</f>
        <v>59</v>
      </c>
    </row>
    <row r="26" customFormat="false" ht="15" hidden="false" customHeight="false" outlineLevel="0" collapsed="false">
      <c r="B26" s="16" t="s">
        <v>1066</v>
      </c>
      <c r="C26" s="58" t="n">
        <f aca="false">$C$18/$C$23</f>
        <v>157.5</v>
      </c>
    </row>
    <row r="27" customFormat="false" ht="15" hidden="false" customHeight="false" outlineLevel="0" collapsed="false">
      <c r="B27" s="16" t="s">
        <v>1067</v>
      </c>
      <c r="C27" s="58" t="n">
        <f aca="false">$C$22/$C$24</f>
        <v>2.36842105263158</v>
      </c>
    </row>
    <row r="28" customFormat="false" ht="15" hidden="false" customHeight="false" outlineLevel="0" collapsed="false">
      <c r="B28" s="31" t="s">
        <v>157</v>
      </c>
      <c r="C28" s="63" t="n">
        <f aca="false">$C$26/$C$27</f>
        <v>66.5</v>
      </c>
    </row>
    <row r="29" customFormat="false" ht="15" hidden="false" customHeight="false" outlineLevel="0" collapsed="false">
      <c r="B29" s="16" t="s">
        <v>1068</v>
      </c>
      <c r="C29" s="58" t="n">
        <f aca="false">_xlfn.F.INV.RT($C$19,$C$23,$C$24)</f>
        <v>3.15884271926065</v>
      </c>
    </row>
    <row r="30" customFormat="false" ht="15" hidden="false" customHeight="false" outlineLevel="0" collapsed="false">
      <c r="B30" s="16" t="s">
        <v>905</v>
      </c>
      <c r="C30" s="58" t="n">
        <f aca="false">$C$18/$C$17</f>
        <v>0.7</v>
      </c>
    </row>
    <row r="31" customFormat="false" ht="15" hidden="false" customHeight="false" outlineLevel="0" collapsed="false">
      <c r="B31" s="16" t="s">
        <v>838</v>
      </c>
      <c r="C31" s="58" t="n">
        <f aca="false">1-($C$22/$C$24)/($C$17/$C$25)</f>
        <v>0.689473684210526</v>
      </c>
    </row>
    <row r="32" customFormat="false" ht="15" hidden="false" customHeight="false" outlineLevel="0" collapsed="false">
      <c r="B32" s="16" t="s">
        <v>1069</v>
      </c>
      <c r="C32" s="58" t="n">
        <f aca="false">SQRT($C$27)</f>
        <v>1.53896752812773</v>
      </c>
    </row>
    <row r="33" customFormat="false" ht="15" hidden="false" customHeight="false" outlineLevel="0" collapsed="false">
      <c r="B33" s="16" t="s">
        <v>1070</v>
      </c>
      <c r="C33" s="56" t="str">
        <f aca="false">IF($C$28&gt;$C$29,"Reject H0: model significant","Do not reject H0")</f>
        <v>Reject H0: model significant</v>
      </c>
    </row>
    <row r="35" customFormat="false" ht="15" hidden="false" customHeight="false" outlineLevel="0" collapsed="false">
      <c r="B35" s="43" t="s">
        <v>249</v>
      </c>
      <c r="C35" s="44"/>
      <c r="D35" s="44"/>
      <c r="E35" s="44"/>
      <c r="F35" s="44"/>
      <c r="G35" s="44"/>
      <c r="H35" s="44"/>
      <c r="I35" s="44"/>
    </row>
    <row r="36" customFormat="false" ht="30" hidden="false" customHeight="true" outlineLevel="0" collapsed="false">
      <c r="B36" s="47" t="s">
        <v>1071</v>
      </c>
      <c r="C36" s="47"/>
      <c r="D36" s="47"/>
      <c r="E36" s="47"/>
      <c r="F36" s="47"/>
      <c r="G36" s="47"/>
      <c r="H36" s="47"/>
      <c r="I36" s="47"/>
    </row>
    <row r="37" customFormat="false" ht="16.5" hidden="false" customHeight="true" outlineLevel="0" collapsed="false">
      <c r="B37" s="47" t="s">
        <v>1072</v>
      </c>
      <c r="C37" s="47"/>
      <c r="D37" s="47"/>
      <c r="E37" s="47"/>
      <c r="F37" s="47"/>
      <c r="G37" s="47"/>
      <c r="H37" s="47"/>
      <c r="I37" s="47"/>
    </row>
    <row r="38" customFormat="false" ht="30" hidden="false" customHeight="true" outlineLevel="0" collapsed="false">
      <c r="B38" s="47" t="s">
        <v>1073</v>
      </c>
      <c r="C38" s="47"/>
      <c r="D38" s="47"/>
      <c r="E38" s="47"/>
      <c r="F38" s="47"/>
      <c r="G38" s="47"/>
      <c r="H38" s="47"/>
      <c r="I38" s="47"/>
    </row>
    <row r="39" customFormat="false" ht="16.5" hidden="false" customHeight="true" outlineLevel="0" collapsed="false">
      <c r="B39" s="47" t="s">
        <v>1074</v>
      </c>
      <c r="C39" s="47"/>
      <c r="D39" s="47"/>
      <c r="E39" s="47"/>
      <c r="F39" s="47"/>
      <c r="G39" s="47"/>
      <c r="H39" s="47"/>
      <c r="I39" s="47"/>
    </row>
    <row r="40" customFormat="false" ht="16.5" hidden="false" customHeight="true" outlineLevel="0" collapsed="false">
      <c r="B40" s="48" t="s">
        <v>1075</v>
      </c>
      <c r="C40" s="48"/>
      <c r="D40" s="48"/>
      <c r="E40" s="48"/>
      <c r="F40" s="48"/>
      <c r="G40" s="48"/>
      <c r="H40" s="48"/>
      <c r="I40" s="48"/>
    </row>
  </sheetData>
  <mergeCells count="10">
    <mergeCell ref="B5:I5"/>
    <mergeCell ref="B8:I8"/>
    <mergeCell ref="B9:I9"/>
    <mergeCell ref="B10:I10"/>
    <mergeCell ref="B11:I11"/>
    <mergeCell ref="B36:I36"/>
    <mergeCell ref="B37:I37"/>
    <mergeCell ref="B38:I38"/>
    <mergeCell ref="B39:I39"/>
    <mergeCell ref="B40:I40"/>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3" min="3" style="0" width="60"/>
    <col collapsed="false" customWidth="true" hidden="false" outlineLevel="0" max="4" min="4" style="0" width="44"/>
    <col collapsed="false" customWidth="true" hidden="false" outlineLevel="0" max="15" min="5" style="0" width="15"/>
  </cols>
  <sheetData>
    <row r="1" customFormat="false" ht="17.35" hidden="false" customHeight="false" outlineLevel="0" collapsed="false">
      <c r="B1" s="25" t="s">
        <v>1076</v>
      </c>
    </row>
    <row r="3" customFormat="false" ht="15" hidden="false" customHeight="false" outlineLevel="0" collapsed="false">
      <c r="B3" s="27" t="s">
        <v>1077</v>
      </c>
      <c r="C3" s="28"/>
      <c r="D3" s="28"/>
      <c r="E3" s="28"/>
      <c r="F3" s="28"/>
      <c r="G3" s="28"/>
      <c r="H3" s="28"/>
      <c r="I3" s="28"/>
    </row>
    <row r="4" customFormat="false" ht="15" hidden="false" customHeight="false" outlineLevel="0" collapsed="false">
      <c r="B4" s="12" t="s">
        <v>1078</v>
      </c>
      <c r="C4" s="30" t="s">
        <v>1079</v>
      </c>
    </row>
    <row r="5" customFormat="false" ht="15" hidden="false" customHeight="false" outlineLevel="0" collapsed="false">
      <c r="B5" s="77" t="n">
        <v>0.9</v>
      </c>
      <c r="C5" s="78" t="n">
        <f aca="false">_xlfn.NORM.S.INV(B5)</f>
        <v>1.2815515655446</v>
      </c>
    </row>
    <row r="6" customFormat="false" ht="15" hidden="false" customHeight="false" outlineLevel="0" collapsed="false">
      <c r="B6" s="77" t="n">
        <v>0.95</v>
      </c>
      <c r="C6" s="78" t="n">
        <f aca="false">_xlfn.NORM.S.INV(B6)</f>
        <v>1.64485362695147</v>
      </c>
    </row>
    <row r="7" customFormat="false" ht="15" hidden="false" customHeight="false" outlineLevel="0" collapsed="false">
      <c r="B7" s="77" t="n">
        <v>0.975</v>
      </c>
      <c r="C7" s="78" t="n">
        <f aca="false">_xlfn.NORM.S.INV(B7)</f>
        <v>1.95996398454005</v>
      </c>
    </row>
    <row r="8" customFormat="false" ht="15" hidden="false" customHeight="false" outlineLevel="0" collapsed="false">
      <c r="B8" s="77" t="n">
        <v>0.99</v>
      </c>
      <c r="C8" s="78" t="n">
        <f aca="false">_xlfn.NORM.S.INV(B8)</f>
        <v>2.32634787404084</v>
      </c>
    </row>
    <row r="9" customFormat="false" ht="15" hidden="false" customHeight="false" outlineLevel="0" collapsed="false">
      <c r="B9" s="77" t="n">
        <v>0.999</v>
      </c>
      <c r="C9" s="78" t="n">
        <f aca="false">_xlfn.NORM.S.INV(B9)</f>
        <v>3.09023230616781</v>
      </c>
    </row>
    <row r="11" customFormat="false" ht="15" hidden="false" customHeight="false" outlineLevel="0" collapsed="false">
      <c r="B11" s="27" t="s">
        <v>1080</v>
      </c>
      <c r="C11" s="28"/>
      <c r="D11" s="28"/>
      <c r="E11" s="28"/>
      <c r="F11" s="28"/>
      <c r="G11" s="28"/>
      <c r="H11" s="28"/>
      <c r="I11" s="28"/>
    </row>
    <row r="12" customFormat="false" ht="15" hidden="false" customHeight="false" outlineLevel="0" collapsed="false">
      <c r="B12" s="12" t="s">
        <v>178</v>
      </c>
      <c r="C12" s="30" t="s">
        <v>179</v>
      </c>
    </row>
    <row r="13" customFormat="false" ht="15" hidden="false" customHeight="false" outlineLevel="0" collapsed="false">
      <c r="B13" s="31" t="s">
        <v>180</v>
      </c>
      <c r="C13" s="79" t="s">
        <v>181</v>
      </c>
    </row>
    <row r="14" customFormat="false" ht="15" hidden="false" customHeight="false" outlineLevel="0" collapsed="false">
      <c r="B14" s="31" t="s">
        <v>182</v>
      </c>
      <c r="C14" s="79" t="s">
        <v>183</v>
      </c>
    </row>
    <row r="15" customFormat="false" ht="15" hidden="false" customHeight="false" outlineLevel="0" collapsed="false">
      <c r="B15" s="31" t="s">
        <v>184</v>
      </c>
      <c r="C15" s="79" t="s">
        <v>185</v>
      </c>
    </row>
    <row r="16" customFormat="false" ht="15" hidden="false" customHeight="false" outlineLevel="0" collapsed="false">
      <c r="B16" s="31" t="s">
        <v>186</v>
      </c>
      <c r="C16" s="79" t="s">
        <v>187</v>
      </c>
    </row>
    <row r="17" customFormat="false" ht="15" hidden="false" customHeight="false" outlineLevel="0" collapsed="false">
      <c r="B17" s="31" t="s">
        <v>188</v>
      </c>
      <c r="C17" s="79" t="s">
        <v>189</v>
      </c>
    </row>
    <row r="18" customFormat="false" ht="15" hidden="false" customHeight="false" outlineLevel="0" collapsed="false">
      <c r="B18" s="31" t="s">
        <v>190</v>
      </c>
      <c r="C18" s="79" t="s">
        <v>191</v>
      </c>
    </row>
    <row r="19" customFormat="false" ht="15" hidden="false" customHeight="false" outlineLevel="0" collapsed="false">
      <c r="B19" s="31" t="s">
        <v>192</v>
      </c>
      <c r="C19" s="79" t="s">
        <v>193</v>
      </c>
    </row>
    <row r="21" customFormat="false" ht="15" hidden="false" customHeight="false" outlineLevel="0" collapsed="false">
      <c r="B21" s="27" t="s">
        <v>1081</v>
      </c>
      <c r="C21" s="28"/>
      <c r="D21" s="28"/>
      <c r="E21" s="28"/>
      <c r="F21" s="28"/>
      <c r="G21" s="28"/>
      <c r="H21" s="28"/>
      <c r="I21" s="28"/>
    </row>
    <row r="22" customFormat="false" ht="15" hidden="false" customHeight="false" outlineLevel="0" collapsed="false">
      <c r="B22" s="12" t="s">
        <v>178</v>
      </c>
      <c r="C22" s="30" t="s">
        <v>179</v>
      </c>
    </row>
    <row r="23" customFormat="false" ht="15" hidden="false" customHeight="false" outlineLevel="0" collapsed="false">
      <c r="B23" s="31" t="s">
        <v>417</v>
      </c>
      <c r="C23" s="79" t="s">
        <v>418</v>
      </c>
    </row>
    <row r="24" customFormat="false" ht="15" hidden="false" customHeight="false" outlineLevel="0" collapsed="false">
      <c r="B24" s="31" t="s">
        <v>59</v>
      </c>
      <c r="C24" s="79" t="s">
        <v>419</v>
      </c>
    </row>
    <row r="25" customFormat="false" ht="15" hidden="false" customHeight="false" outlineLevel="0" collapsed="false">
      <c r="B25" s="31" t="s">
        <v>420</v>
      </c>
      <c r="C25" s="79" t="s">
        <v>421</v>
      </c>
    </row>
    <row r="26" customFormat="false" ht="15" hidden="false" customHeight="false" outlineLevel="0" collapsed="false">
      <c r="B26" s="31" t="s">
        <v>422</v>
      </c>
      <c r="C26" s="79" t="s">
        <v>423</v>
      </c>
    </row>
    <row r="27" customFormat="false" ht="15" hidden="false" customHeight="false" outlineLevel="0" collapsed="false">
      <c r="B27" s="31" t="s">
        <v>424</v>
      </c>
      <c r="C27" s="79" t="s">
        <v>425</v>
      </c>
    </row>
    <row r="28" customFormat="false" ht="15" hidden="false" customHeight="false" outlineLevel="0" collapsed="false">
      <c r="B28" s="31" t="s">
        <v>426</v>
      </c>
      <c r="C28" s="79" t="s">
        <v>427</v>
      </c>
    </row>
    <row r="29" customFormat="false" ht="15" hidden="false" customHeight="false" outlineLevel="0" collapsed="false">
      <c r="B29" s="31" t="s">
        <v>428</v>
      </c>
      <c r="C29" s="79" t="s">
        <v>429</v>
      </c>
    </row>
    <row r="30" customFormat="false" ht="15" hidden="false" customHeight="false" outlineLevel="0" collapsed="false">
      <c r="B30" s="31" t="s">
        <v>430</v>
      </c>
      <c r="C30" s="79" t="s">
        <v>431</v>
      </c>
    </row>
    <row r="32" customFormat="false" ht="15" hidden="false" customHeight="false" outlineLevel="0" collapsed="false">
      <c r="B32" s="27" t="s">
        <v>1082</v>
      </c>
      <c r="C32" s="28"/>
      <c r="D32" s="28"/>
      <c r="E32" s="28"/>
      <c r="F32" s="28"/>
      <c r="G32" s="28"/>
      <c r="H32" s="28"/>
      <c r="I32" s="28"/>
    </row>
    <row r="33" customFormat="false" ht="15" hidden="false" customHeight="false" outlineLevel="0" collapsed="false">
      <c r="B33" s="12" t="s">
        <v>178</v>
      </c>
      <c r="C33" s="30" t="s">
        <v>179</v>
      </c>
    </row>
    <row r="34" customFormat="false" ht="15" hidden="false" customHeight="false" outlineLevel="0" collapsed="false">
      <c r="B34" s="31" t="s">
        <v>94</v>
      </c>
      <c r="C34" s="79" t="s">
        <v>633</v>
      </c>
    </row>
    <row r="35" customFormat="false" ht="15" hidden="false" customHeight="false" outlineLevel="0" collapsed="false">
      <c r="B35" s="31" t="s">
        <v>634</v>
      </c>
      <c r="C35" s="79" t="s">
        <v>635</v>
      </c>
    </row>
    <row r="36" customFormat="false" ht="15" hidden="false" customHeight="false" outlineLevel="0" collapsed="false">
      <c r="B36" s="31" t="s">
        <v>636</v>
      </c>
      <c r="C36" s="79" t="s">
        <v>637</v>
      </c>
    </row>
    <row r="37" customFormat="false" ht="15" hidden="false" customHeight="false" outlineLevel="0" collapsed="false">
      <c r="B37" s="31" t="s">
        <v>638</v>
      </c>
      <c r="C37" s="79" t="s">
        <v>639</v>
      </c>
    </row>
    <row r="38" customFormat="false" ht="15" hidden="false" customHeight="false" outlineLevel="0" collapsed="false">
      <c r="B38" s="31" t="s">
        <v>640</v>
      </c>
      <c r="C38" s="79" t="s">
        <v>641</v>
      </c>
    </row>
    <row r="39" customFormat="false" ht="15" hidden="false" customHeight="false" outlineLevel="0" collapsed="false">
      <c r="B39" s="31" t="s">
        <v>642</v>
      </c>
      <c r="C39" s="79" t="s">
        <v>643</v>
      </c>
    </row>
    <row r="41" customFormat="false" ht="15" hidden="false" customHeight="false" outlineLevel="0" collapsed="false">
      <c r="B41" s="27" t="s">
        <v>1083</v>
      </c>
      <c r="C41" s="28"/>
      <c r="D41" s="28"/>
      <c r="E41" s="28"/>
      <c r="F41" s="28"/>
      <c r="G41" s="28"/>
      <c r="H41" s="28"/>
      <c r="I41" s="28"/>
    </row>
    <row r="42" customFormat="false" ht="15" hidden="false" customHeight="false" outlineLevel="0" collapsed="false">
      <c r="B42" s="12" t="s">
        <v>178</v>
      </c>
      <c r="C42" s="30" t="s">
        <v>179</v>
      </c>
    </row>
    <row r="43" customFormat="false" ht="15" hidden="false" customHeight="false" outlineLevel="0" collapsed="false">
      <c r="B43" s="31" t="s">
        <v>834</v>
      </c>
      <c r="C43" s="79" t="s">
        <v>835</v>
      </c>
    </row>
    <row r="44" customFormat="false" ht="15" hidden="false" customHeight="false" outlineLevel="0" collapsed="false">
      <c r="B44" s="31" t="s">
        <v>836</v>
      </c>
      <c r="C44" s="79" t="s">
        <v>837</v>
      </c>
    </row>
    <row r="45" customFormat="false" ht="15" hidden="false" customHeight="false" outlineLevel="0" collapsed="false">
      <c r="B45" s="31" t="s">
        <v>838</v>
      </c>
      <c r="C45" s="79" t="s">
        <v>839</v>
      </c>
    </row>
    <row r="46" customFormat="false" ht="15" hidden="false" customHeight="false" outlineLevel="0" collapsed="false">
      <c r="B46" s="31" t="s">
        <v>157</v>
      </c>
      <c r="C46" s="79" t="s">
        <v>840</v>
      </c>
    </row>
    <row r="47" customFormat="false" ht="15" hidden="false" customHeight="false" outlineLevel="0" collapsed="false">
      <c r="B47" s="31" t="s">
        <v>841</v>
      </c>
      <c r="C47" s="79" t="s">
        <v>842</v>
      </c>
    </row>
    <row r="48" customFormat="false" ht="15" hidden="false" customHeight="false" outlineLevel="0" collapsed="false">
      <c r="B48" s="31" t="s">
        <v>843</v>
      </c>
      <c r="C48" s="79" t="s">
        <v>844</v>
      </c>
    </row>
    <row r="49" customFormat="false" ht="15" hidden="false" customHeight="false" outlineLevel="0" collapsed="false">
      <c r="B49" s="31" t="s">
        <v>845</v>
      </c>
      <c r="C49" s="79" t="s">
        <v>846</v>
      </c>
    </row>
    <row r="50" customFormat="false" ht="15" hidden="false" customHeight="false" outlineLevel="0" collapsed="false">
      <c r="B50" s="31" t="s">
        <v>847</v>
      </c>
      <c r="C50" s="79" t="s">
        <v>848</v>
      </c>
    </row>
    <row r="52" customFormat="false" ht="15" hidden="false" customHeight="false" outlineLevel="0" collapsed="false">
      <c r="B52" s="27" t="s">
        <v>1084</v>
      </c>
      <c r="C52" s="28"/>
      <c r="D52" s="28"/>
      <c r="E52" s="28"/>
      <c r="F52" s="28"/>
      <c r="G52" s="28"/>
      <c r="H52" s="28"/>
      <c r="I52" s="28"/>
    </row>
    <row r="53" customFormat="false" ht="15" hidden="false" customHeight="false" outlineLevel="0" collapsed="false">
      <c r="B53" s="12" t="s">
        <v>1085</v>
      </c>
      <c r="C53" s="30" t="s">
        <v>1086</v>
      </c>
      <c r="D53" s="30" t="s">
        <v>1087</v>
      </c>
    </row>
    <row r="54" customFormat="false" ht="15" hidden="false" customHeight="false" outlineLevel="0" collapsed="false">
      <c r="B54" s="16" t="s">
        <v>1088</v>
      </c>
      <c r="C54" s="16" t="s">
        <v>1089</v>
      </c>
      <c r="D54" s="16" t="s">
        <v>1090</v>
      </c>
    </row>
    <row r="55" customFormat="false" ht="15" hidden="false" customHeight="false" outlineLevel="0" collapsed="false">
      <c r="B55" s="16" t="s">
        <v>1091</v>
      </c>
      <c r="C55" s="16" t="s">
        <v>1092</v>
      </c>
      <c r="D55" s="16" t="s">
        <v>1093</v>
      </c>
    </row>
    <row r="56" customFormat="false" ht="15" hidden="false" customHeight="false" outlineLevel="0" collapsed="false">
      <c r="B56" s="16" t="s">
        <v>1094</v>
      </c>
      <c r="C56" s="16" t="s">
        <v>1095</v>
      </c>
      <c r="D56" s="16" t="s">
        <v>1096</v>
      </c>
    </row>
    <row r="57" customFormat="false" ht="15" hidden="false" customHeight="false" outlineLevel="0" collapsed="false">
      <c r="B57" s="16" t="s">
        <v>1097</v>
      </c>
      <c r="C57" s="16" t="s">
        <v>1098</v>
      </c>
      <c r="D57" s="16" t="s">
        <v>1099</v>
      </c>
    </row>
    <row r="58" customFormat="false" ht="15" hidden="false" customHeight="false" outlineLevel="0" collapsed="false">
      <c r="B58" s="16" t="s">
        <v>1100</v>
      </c>
      <c r="C58" s="16" t="s">
        <v>1101</v>
      </c>
      <c r="D58" s="16" t="s">
        <v>1102</v>
      </c>
    </row>
    <row r="59" customFormat="false" ht="15" hidden="false" customHeight="false" outlineLevel="0" collapsed="false">
      <c r="B59" s="16" t="s">
        <v>1103</v>
      </c>
      <c r="C59" s="16" t="s">
        <v>1104</v>
      </c>
      <c r="D59" s="16" t="s">
        <v>1105</v>
      </c>
    </row>
    <row r="60" customFormat="false" ht="15" hidden="false" customHeight="false" outlineLevel="0" collapsed="false">
      <c r="B60" s="16" t="s">
        <v>1106</v>
      </c>
      <c r="C60" s="16" t="s">
        <v>1107</v>
      </c>
      <c r="D60" s="16" t="s">
        <v>1108</v>
      </c>
    </row>
    <row r="61" customFormat="false" ht="15" hidden="false" customHeight="false" outlineLevel="0" collapsed="false">
      <c r="B61" s="16" t="s">
        <v>1109</v>
      </c>
      <c r="C61" s="16" t="s">
        <v>1110</v>
      </c>
      <c r="D61" s="16" t="s">
        <v>1111</v>
      </c>
    </row>
    <row r="62" customFormat="false" ht="15" hidden="false" customHeight="false" outlineLevel="0" collapsed="false">
      <c r="B62" s="16" t="s">
        <v>1112</v>
      </c>
      <c r="C62" s="16" t="s">
        <v>1113</v>
      </c>
      <c r="D62" s="16" t="s">
        <v>1114</v>
      </c>
    </row>
    <row r="63" customFormat="false" ht="15" hidden="false" customHeight="false" outlineLevel="0" collapsed="false">
      <c r="B63" s="16" t="s">
        <v>1115</v>
      </c>
      <c r="C63" s="16" t="s">
        <v>843</v>
      </c>
      <c r="D63" s="16" t="s">
        <v>1116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D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36"/>
    <col collapsed="false" customWidth="true" hidden="false" outlineLevel="0" max="4" min="4" style="0" width="18"/>
    <col collapsed="false" customWidth="true" hidden="false" outlineLevel="0" max="15" min="5" style="0" width="15"/>
  </cols>
  <sheetData>
    <row r="1" customFormat="false" ht="17.35" hidden="false" customHeight="false" outlineLevel="0" collapsed="false">
      <c r="B1" s="25" t="s">
        <v>1117</v>
      </c>
    </row>
    <row r="3" customFormat="false" ht="15" hidden="false" customHeight="false" outlineLevel="0" collapsed="false">
      <c r="B3" s="12" t="s">
        <v>16</v>
      </c>
      <c r="C3" s="30" t="s">
        <v>1118</v>
      </c>
      <c r="D3" s="30" t="s">
        <v>18</v>
      </c>
    </row>
    <row r="4" customFormat="false" ht="15" hidden="false" customHeight="false" outlineLevel="0" collapsed="false">
      <c r="B4" s="80" t="s">
        <v>24</v>
      </c>
      <c r="C4" s="16" t="s">
        <v>25</v>
      </c>
      <c r="D4" s="19" t="n">
        <f aca="false">'1.1 Parametric VaR'!$C$24</f>
        <v>1.3956</v>
      </c>
    </row>
    <row r="5" customFormat="false" ht="15" hidden="false" customHeight="false" outlineLevel="0" collapsed="false">
      <c r="B5" s="80" t="s">
        <v>24</v>
      </c>
      <c r="C5" s="16" t="s">
        <v>1119</v>
      </c>
      <c r="D5" s="19" t="n">
        <f aca="false">'1.1 Parametric VaR'!$C$25</f>
        <v>4.41327470253099</v>
      </c>
    </row>
    <row r="6" customFormat="false" ht="15" hidden="false" customHeight="false" outlineLevel="0" collapsed="false">
      <c r="B6" s="80" t="s">
        <v>28</v>
      </c>
      <c r="C6" s="16" t="s">
        <v>29</v>
      </c>
      <c r="D6" s="19" t="n">
        <f aca="false">'1.2 Portfolio VaR'!$C$28</f>
        <v>2.04730286541098</v>
      </c>
    </row>
    <row r="7" customFormat="false" ht="15" hidden="false" customHeight="false" outlineLevel="0" collapsed="false">
      <c r="B7" s="80" t="s">
        <v>32</v>
      </c>
      <c r="C7" s="16" t="s">
        <v>33</v>
      </c>
      <c r="D7" s="19" t="n">
        <f aca="false">'1.3 Historical VaR &amp; ES'!$C$41</f>
        <v>3.528</v>
      </c>
    </row>
    <row r="8" customFormat="false" ht="15" hidden="false" customHeight="false" outlineLevel="0" collapsed="false">
      <c r="B8" s="80" t="s">
        <v>32</v>
      </c>
      <c r="C8" s="16" t="s">
        <v>1120</v>
      </c>
      <c r="D8" s="19" t="n">
        <f aca="false">'1.3 Historical VaR &amp; ES'!$C$43</f>
        <v>4.3296</v>
      </c>
    </row>
    <row r="9" customFormat="false" ht="15" hidden="false" customHeight="false" outlineLevel="0" collapsed="false">
      <c r="B9" s="80" t="s">
        <v>36</v>
      </c>
      <c r="C9" s="16" t="s">
        <v>37</v>
      </c>
      <c r="D9" s="19" t="n">
        <f aca="false">'1.4 VaR Backtesting'!$C$36</f>
        <v>56.25</v>
      </c>
    </row>
    <row r="10" customFormat="false" ht="15" hidden="false" customHeight="false" outlineLevel="0" collapsed="false">
      <c r="B10" s="80" t="s">
        <v>36</v>
      </c>
      <c r="C10" s="16" t="s">
        <v>1121</v>
      </c>
      <c r="D10" s="81" t="n">
        <f aca="false">'1.4 VaR Backtesting'!$C$32</f>
        <v>0.00402533871180999</v>
      </c>
    </row>
    <row r="11" customFormat="false" ht="15" hidden="false" customHeight="false" outlineLevel="0" collapsed="false">
      <c r="B11" s="80" t="s">
        <v>40</v>
      </c>
      <c r="C11" s="16" t="s">
        <v>25</v>
      </c>
      <c r="D11" s="19" t="n">
        <f aca="false">'1.5 Bond VaR'!$C$25</f>
        <v>1.81428</v>
      </c>
    </row>
    <row r="12" customFormat="false" ht="15" hidden="false" customHeight="false" outlineLevel="0" collapsed="false">
      <c r="B12" s="80" t="s">
        <v>43</v>
      </c>
      <c r="C12" s="16" t="s">
        <v>44</v>
      </c>
      <c r="D12" s="19" t="n">
        <f aca="false">'1.6 FX VaR'!$C$26</f>
        <v>1.52937234478723</v>
      </c>
    </row>
    <row r="13" customFormat="false" ht="15" hidden="false" customHeight="false" outlineLevel="0" collapsed="false">
      <c r="B13" s="80" t="s">
        <v>47</v>
      </c>
      <c r="C13" s="16" t="s">
        <v>48</v>
      </c>
      <c r="D13" s="19" t="n">
        <f aca="false">'1.7 VaR vs ES'!$C$25</f>
        <v>3.50670418830212</v>
      </c>
    </row>
    <row r="14" customFormat="false" ht="15" hidden="false" customHeight="false" outlineLevel="0" collapsed="false">
      <c r="B14" s="80" t="s">
        <v>51</v>
      </c>
      <c r="C14" s="16" t="s">
        <v>52</v>
      </c>
      <c r="D14" s="19" t="n">
        <f aca="false">'1.8 Basel Market Capital'!$C$24</f>
        <v>90</v>
      </c>
    </row>
    <row r="15" customFormat="false" ht="15" hidden="false" customHeight="false" outlineLevel="0" collapsed="false">
      <c r="B15" s="80" t="s">
        <v>58</v>
      </c>
      <c r="C15" s="16" t="s">
        <v>59</v>
      </c>
      <c r="D15" s="20" t="n">
        <f aca="false">'2.1 Bond Duration'!$C$32</f>
        <v>4.02035421122042</v>
      </c>
    </row>
    <row r="16" customFormat="false" ht="15" hidden="false" customHeight="false" outlineLevel="0" collapsed="false">
      <c r="B16" s="80" t="s">
        <v>62</v>
      </c>
      <c r="C16" s="16" t="s">
        <v>63</v>
      </c>
      <c r="D16" s="20" t="n">
        <f aca="false">'2.2 Convexity'!$C$36</f>
        <v>64.02148973663</v>
      </c>
    </row>
    <row r="17" customFormat="false" ht="15" hidden="false" customHeight="false" outlineLevel="0" collapsed="false">
      <c r="B17" s="80" t="s">
        <v>66</v>
      </c>
      <c r="C17" s="16" t="s">
        <v>67</v>
      </c>
      <c r="D17" s="21" t="n">
        <f aca="false">'2.3 PV01 Hedging'!$C$24</f>
        <v>20000</v>
      </c>
    </row>
    <row r="18" customFormat="false" ht="15" hidden="false" customHeight="false" outlineLevel="0" collapsed="false">
      <c r="B18" s="80" t="s">
        <v>70</v>
      </c>
      <c r="C18" s="16" t="s">
        <v>71</v>
      </c>
      <c r="D18" s="21" t="n">
        <f aca="false">'2.4 Beta Hedging'!$C$26</f>
        <v>170</v>
      </c>
    </row>
    <row r="19" customFormat="false" ht="15" hidden="false" customHeight="false" outlineLevel="0" collapsed="false">
      <c r="B19" s="80" t="s">
        <v>74</v>
      </c>
      <c r="C19" s="16" t="s">
        <v>75</v>
      </c>
      <c r="D19" s="19" t="n">
        <f aca="false">'2.5 Option Greeks'!$C$27</f>
        <v>86.8644176442424</v>
      </c>
    </row>
    <row r="20" customFormat="false" ht="15" hidden="false" customHeight="false" outlineLevel="0" collapsed="false">
      <c r="B20" s="80" t="s">
        <v>74</v>
      </c>
      <c r="C20" s="16" t="s">
        <v>553</v>
      </c>
      <c r="D20" s="20" t="n">
        <f aca="false">'2.5 Option Greeks'!$C$28</f>
        <v>0.576324716044821</v>
      </c>
    </row>
    <row r="21" customFormat="false" ht="15" hidden="false" customHeight="false" outlineLevel="0" collapsed="false">
      <c r="B21" s="80" t="s">
        <v>78</v>
      </c>
      <c r="C21" s="16" t="s">
        <v>79</v>
      </c>
      <c r="D21" s="21" t="n">
        <f aca="false">'2.6 Delta-Gamma Hedge'!$C$23</f>
        <v>35000</v>
      </c>
    </row>
    <row r="22" customFormat="false" ht="15" hidden="false" customHeight="false" outlineLevel="0" collapsed="false">
      <c r="B22" s="80" t="s">
        <v>82</v>
      </c>
      <c r="C22" s="16" t="s">
        <v>83</v>
      </c>
      <c r="D22" s="19" t="n">
        <f aca="false">'2.7 Duration Gap'!$C$25</f>
        <v>-634.766355140187</v>
      </c>
    </row>
    <row r="23" customFormat="false" ht="15" hidden="false" customHeight="false" outlineLevel="0" collapsed="false">
      <c r="B23" s="80" t="s">
        <v>86</v>
      </c>
      <c r="C23" s="16" t="s">
        <v>87</v>
      </c>
      <c r="D23" s="20" t="n">
        <f aca="false">'2.8 Effective Duration'!$C$22</f>
        <v>2.77777777777778</v>
      </c>
    </row>
    <row r="24" customFormat="false" ht="15" hidden="false" customHeight="false" outlineLevel="0" collapsed="false">
      <c r="B24" s="80" t="s">
        <v>93</v>
      </c>
      <c r="C24" s="16" t="s">
        <v>94</v>
      </c>
      <c r="D24" s="22" t="n">
        <f aca="false">'3.1 Loan RAROC'!$C$39</f>
        <v>0.166875</v>
      </c>
    </row>
    <row r="25" customFormat="false" ht="15" hidden="false" customHeight="false" outlineLevel="0" collapsed="false">
      <c r="B25" s="80" t="s">
        <v>97</v>
      </c>
      <c r="C25" s="16" t="s">
        <v>98</v>
      </c>
      <c r="D25" s="23" t="n">
        <f aca="false">'3.2 Risk-Based Pricing'!$C$34</f>
        <v>0.09575</v>
      </c>
    </row>
    <row r="26" customFormat="false" ht="15" hidden="false" customHeight="false" outlineLevel="0" collapsed="false">
      <c r="B26" s="80" t="s">
        <v>101</v>
      </c>
      <c r="C26" s="16" t="s">
        <v>102</v>
      </c>
      <c r="D26" s="22" t="n">
        <f aca="false">'3.3 Corporate vs SME'!$C$38</f>
        <v>0.2295</v>
      </c>
    </row>
    <row r="27" customFormat="false" ht="15" hidden="false" customHeight="false" outlineLevel="0" collapsed="false">
      <c r="B27" s="80" t="s">
        <v>101</v>
      </c>
      <c r="C27" s="16" t="s">
        <v>1122</v>
      </c>
      <c r="D27" s="22" t="n">
        <f aca="false">'3.3 Corporate vs SME'!$D$38</f>
        <v>0.1696875</v>
      </c>
    </row>
    <row r="28" customFormat="false" ht="15" hidden="false" customHeight="false" outlineLevel="0" collapsed="false">
      <c r="B28" s="80" t="s">
        <v>105</v>
      </c>
      <c r="C28" s="16" t="s">
        <v>106</v>
      </c>
      <c r="D28" s="22" t="n">
        <f aca="false">'3.4 Economic Capital'!$C$29</f>
        <v>0.1875</v>
      </c>
    </row>
    <row r="29" customFormat="false" ht="15" hidden="false" customHeight="false" outlineLevel="0" collapsed="false">
      <c r="B29" s="80" t="s">
        <v>109</v>
      </c>
      <c r="C29" s="16" t="s">
        <v>110</v>
      </c>
      <c r="D29" s="22" t="n">
        <f aca="false">'3.5 Trading Desk RAROC'!$D$26</f>
        <v>0.316227766016838</v>
      </c>
    </row>
    <row r="30" customFormat="false" ht="15" hidden="false" customHeight="false" outlineLevel="0" collapsed="false">
      <c r="B30" s="80" t="s">
        <v>113</v>
      </c>
      <c r="C30" s="16" t="s">
        <v>114</v>
      </c>
      <c r="D30" s="22" t="n">
        <f aca="false">'3.6 Relationship RAROC'!$D$38</f>
        <v>0.212678571428571</v>
      </c>
    </row>
    <row r="31" customFormat="false" ht="15" hidden="false" customHeight="false" outlineLevel="0" collapsed="false">
      <c r="B31" s="80" t="s">
        <v>117</v>
      </c>
      <c r="C31" s="16" t="s">
        <v>118</v>
      </c>
      <c r="D31" s="22" t="n">
        <f aca="false">'3.7 Capital Allocation'!$E$30</f>
        <v>0.184166666666667</v>
      </c>
    </row>
    <row r="32" customFormat="false" ht="15" hidden="false" customHeight="false" outlineLevel="0" collapsed="false">
      <c r="B32" s="80" t="s">
        <v>121</v>
      </c>
      <c r="C32" s="16" t="s">
        <v>122</v>
      </c>
      <c r="D32" s="22" t="n">
        <f aca="false">'3.8 Collateral Impact'!$D$38</f>
        <v>0.3275</v>
      </c>
    </row>
    <row r="33" customFormat="false" ht="15" hidden="false" customHeight="false" outlineLevel="0" collapsed="false">
      <c r="B33" s="80" t="s">
        <v>128</v>
      </c>
      <c r="C33" s="16" t="s">
        <v>129</v>
      </c>
      <c r="D33" s="20" t="n">
        <f aca="false">'4.1 Beta Regression'!$C$35</f>
        <v>1.29947000095865</v>
      </c>
    </row>
    <row r="34" customFormat="false" ht="15" hidden="false" customHeight="false" outlineLevel="0" collapsed="false">
      <c r="B34" s="80" t="s">
        <v>128</v>
      </c>
      <c r="C34" s="16" t="s">
        <v>905</v>
      </c>
      <c r="D34" s="20" t="n">
        <f aca="false">'4.1 Beta Regression'!$C$39</f>
        <v>0.890726663037557</v>
      </c>
    </row>
    <row r="35" customFormat="false" ht="15" hidden="false" customHeight="false" outlineLevel="0" collapsed="false">
      <c r="B35" s="80" t="s">
        <v>132</v>
      </c>
      <c r="C35" s="16" t="s">
        <v>133</v>
      </c>
      <c r="D35" s="19" t="n">
        <f aca="false">'4.2 Multiple Regression'!$C$46</f>
        <v>4.99</v>
      </c>
    </row>
    <row r="36" customFormat="false" ht="15" hidden="false" customHeight="false" outlineLevel="0" collapsed="false">
      <c r="B36" s="80" t="s">
        <v>132</v>
      </c>
      <c r="C36" s="16" t="s">
        <v>1123</v>
      </c>
      <c r="D36" s="19" t="n">
        <f aca="false">'4.2 Multiple Regression'!$D$46</f>
        <v>7.61</v>
      </c>
    </row>
    <row r="37" customFormat="false" ht="15" hidden="false" customHeight="false" outlineLevel="0" collapsed="false">
      <c r="B37" s="80" t="s">
        <v>136</v>
      </c>
      <c r="C37" s="16" t="s">
        <v>137</v>
      </c>
      <c r="D37" s="20" t="n">
        <f aca="false">'4.3 Hedge Ratio'!$C$22</f>
        <v>0.656</v>
      </c>
    </row>
    <row r="38" customFormat="false" ht="15" hidden="false" customHeight="false" outlineLevel="0" collapsed="false">
      <c r="B38" s="80" t="s">
        <v>140</v>
      </c>
      <c r="C38" s="16" t="s">
        <v>141</v>
      </c>
      <c r="D38" s="22" t="n">
        <f aca="false">'4.4 Portfolio Variance'!$C$27</f>
        <v>0.0947501978889754</v>
      </c>
    </row>
    <row r="39" customFormat="false" ht="15" hidden="false" customHeight="false" outlineLevel="0" collapsed="false">
      <c r="B39" s="80" t="s">
        <v>140</v>
      </c>
      <c r="C39" s="16" t="s">
        <v>1124</v>
      </c>
      <c r="D39" s="24" t="n">
        <f aca="false">'4.4 Portfolio Variance'!$E$31</f>
        <v>0.878185706647656</v>
      </c>
    </row>
    <row r="40" customFormat="false" ht="15" hidden="false" customHeight="false" outlineLevel="0" collapsed="false">
      <c r="B40" s="80" t="s">
        <v>144</v>
      </c>
      <c r="C40" s="16" t="s">
        <v>145</v>
      </c>
      <c r="D40" s="24" t="n">
        <f aca="false">'4.5 Variance Decomposition'!$C$25</f>
        <v>0.485012755102041</v>
      </c>
    </row>
    <row r="41" customFormat="false" ht="15" hidden="false" customHeight="false" outlineLevel="0" collapsed="false">
      <c r="B41" s="80" t="s">
        <v>148</v>
      </c>
      <c r="C41" s="16" t="s">
        <v>149</v>
      </c>
      <c r="D41" s="20" t="n">
        <f aca="false">'4.6 Fund Volatility'!$C$37</f>
        <v>1.48340493327966</v>
      </c>
    </row>
    <row r="42" customFormat="false" ht="15" hidden="false" customHeight="false" outlineLevel="0" collapsed="false">
      <c r="B42" s="80" t="s">
        <v>148</v>
      </c>
      <c r="C42" s="16" t="s">
        <v>1125</v>
      </c>
      <c r="D42" s="20" t="n">
        <f aca="false">'4.6 Fund Volatility'!$D$37</f>
        <v>0.78252323289848</v>
      </c>
    </row>
    <row r="43" customFormat="false" ht="15" hidden="false" customHeight="false" outlineLevel="0" collapsed="false">
      <c r="B43" s="80" t="s">
        <v>152</v>
      </c>
      <c r="C43" s="16" t="s">
        <v>153</v>
      </c>
      <c r="D43" s="20" t="n">
        <f aca="false">'4.7 Flexible Budget'!$C$40</f>
        <v>0.666964285714284</v>
      </c>
    </row>
    <row r="44" customFormat="false" ht="15" hidden="false" customHeight="false" outlineLevel="0" collapsed="false">
      <c r="B44" s="80" t="s">
        <v>156</v>
      </c>
      <c r="C44" s="16" t="s">
        <v>157</v>
      </c>
      <c r="D44" s="19" t="n">
        <f aca="false">'4.8 ANOVA'!$C$28</f>
        <v>66.5</v>
      </c>
    </row>
  </sheetData>
  <hyperlinks>
    <hyperlink ref="B4" r:id="rId1" location="'1.1%20Parametric%20VaR'!A1" display="1.1 Parametric VaR"/>
    <hyperlink ref="B5" r:id="rId2" location="'1.1%20Parametric%20VaR'!A1" display="1.1 Parametric VaR"/>
    <hyperlink ref="B6" r:id="rId3" location="'1.2%20Portfolio%20VaR'!A1" display="1.2 Portfolio VaR"/>
    <hyperlink ref="B7" r:id="rId4" location="'1.3%20Historical%20VaR%20&amp;%20ES'!A1" display="1.3 Historical VaR &amp; ES"/>
    <hyperlink ref="B8" r:id="rId5" location="'1.3%20Historical%20VaR%20&amp;%20ES'!A1" display="1.3 Historical VaR &amp; ES"/>
    <hyperlink ref="B9" r:id="rId6" location="'1.4%20VaR%20Backtesting'!A1" display="1.4 VaR Backtesting"/>
    <hyperlink ref="B10" r:id="rId7" location="'1.4%20VaR%20Backtesting'!A1" display="1.4 VaR Backtesting"/>
    <hyperlink ref="B11" r:id="rId8" location="'1.5%20Bond%20VaR'!A1" display="1.5 Bond VaR"/>
    <hyperlink ref="B12" r:id="rId9" location="'1.6%20FX%20VaR'!A1" display="1.6 FX VaR"/>
    <hyperlink ref="B13" r:id="rId10" location="'1.7%20VaR%20vs%20ES'!A1" display="1.7 VaR vs ES"/>
    <hyperlink ref="B14" r:id="rId11" location="'1.8%20Basel%20Market%20Capital'!A1" display="1.8 Basel Market Capital"/>
    <hyperlink ref="B15" r:id="rId12" location="'2.1%20Bond%20Duration'!A1" display="2.1 Bond Duration"/>
    <hyperlink ref="B16" r:id="rId13" location="'2.2%20Convexity'!A1" display="2.2 Convexity"/>
    <hyperlink ref="B17" r:id="rId14" location="'2.3%20PV01%20Hedging'!A1" display="2.3 PV01 Hedging"/>
    <hyperlink ref="B18" r:id="rId15" location="'2.4%20Beta%20Hedging'!A1" display="2.4 Beta Hedging"/>
    <hyperlink ref="B19" r:id="rId16" location="'2.5%20Option%20Greeks'!A1" display="2.5 Option Greeks"/>
    <hyperlink ref="B20" r:id="rId17" location="'2.5%20Option%20Greeks'!A1" display="2.5 Option Greeks"/>
    <hyperlink ref="B21" r:id="rId18" location="'2.6%20Delta-Gamma%20Hedge'!A1" display="2.6 Delta-Gamma Hedge"/>
    <hyperlink ref="B22" r:id="rId19" location="'2.7%20Duration%20Gap'!A1" display="2.7 Duration Gap"/>
    <hyperlink ref="B23" r:id="rId20" location="'2.8%20Effective%20Duration'!A1" display="2.8 Effective Duration"/>
    <hyperlink ref="B24" r:id="rId21" location="'3.1%20Loan%20RAROC'!A1" display="3.1 Loan RAROC"/>
    <hyperlink ref="B25" r:id="rId22" location="'3.2%20Risk-Based%20Pricing'!A1" display="3.2 Risk-Based Pricing"/>
    <hyperlink ref="B26" r:id="rId23" location="'3.3%20Corporate%20vs%20SME'!A1" display="3.3 Corporate vs SME"/>
    <hyperlink ref="B27" r:id="rId24" location="'3.3%20Corporate%20vs%20SME'!A1" display="3.3 Corporate vs SME"/>
    <hyperlink ref="B28" r:id="rId25" location="'3.4%20Economic%20Capital'!A1" display="3.4 Economic Capital"/>
    <hyperlink ref="B29" r:id="rId26" location="'3.5%20Trading%20Desk%20RAROC'!A1" display="3.5 Trading Desk RAROC"/>
    <hyperlink ref="B30" r:id="rId27" location="'3.6%20Relationship%20RAROC'!A1" display="3.6 Relationship RAROC"/>
    <hyperlink ref="B31" r:id="rId28" location="'3.7%20Capital%20Allocation'!A1" display="3.7 Capital Allocation"/>
    <hyperlink ref="B32" r:id="rId29" location="'3.8%20Collateral%20Impact'!A1" display="3.8 Collateral Impact"/>
    <hyperlink ref="B33" r:id="rId30" location="'4.1%20Beta%20Regression'!A1" display="4.1 Beta Regression"/>
    <hyperlink ref="B34" r:id="rId31" location="'4.1%20Beta%20Regression'!A1" display="4.1 Beta Regression"/>
    <hyperlink ref="B35" r:id="rId32" location="'4.2%20Multiple%20Regression'!A1" display="4.2 Multiple Regression"/>
    <hyperlink ref="B36" r:id="rId33" location="'4.2%20Multiple%20Regression'!A1" display="4.2 Multiple Regression"/>
    <hyperlink ref="B37" r:id="rId34" location="'4.3%20Hedge%20Ratio'!A1" display="4.3 Hedge Ratio"/>
    <hyperlink ref="B38" r:id="rId35" location="'4.4%20Portfolio%20Variance'!A1" display="4.4 Portfolio Variance"/>
    <hyperlink ref="B39" r:id="rId36" location="'4.4%20Portfolio%20Variance'!A1" display="4.4 Portfolio Variance"/>
    <hyperlink ref="B40" r:id="rId37" location="'4.5%20Variance%20Decomposition'!A1" display="4.5 Variance Decomposition"/>
    <hyperlink ref="B41" r:id="rId38" location="'4.6%20Fund%20Volatility'!A1" display="4.6 Fund Volatility"/>
    <hyperlink ref="B42" r:id="rId39" location="'4.6%20Fund%20Volatility'!A1" display="4.6 Fund Volatility"/>
    <hyperlink ref="B43" r:id="rId40" location="'4.7%20Flexible%20Budget'!A1" display="4.7 Flexible Budget"/>
    <hyperlink ref="B44" r:id="rId41" location="'4.8%20ANOVA'!A1" display="4.8 ANOVA"/>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2026-10-25T09:17:08Z</dcterms:created>
  <dc:creator>openpyxl</dc:creator>
  <dc:description/>
  <dc:language>en-US</dc:language>
  <cp:lastModifiedBy/>
  <dcterms:modified xsi:type="dcterms:W3CDTF">2026-10-25T09:17:11Z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