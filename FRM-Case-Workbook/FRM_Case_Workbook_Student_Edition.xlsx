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1.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31.xml.rels" ContentType="application/vnd.openxmlformats-package.relationships+xml"/>
  <Override PartName="/xl/worksheets/_rels/sheet29.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9.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10.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M1 VaR Concept" sheetId="2" state="visible" r:id="rId4"/>
    <sheet name="1.1 Parametric VaR" sheetId="3" state="visible" r:id="rId5"/>
    <sheet name="1.2 Portfolio VaR" sheetId="4" state="visible" r:id="rId6"/>
    <sheet name="1.3 Historical VaR &amp; ES" sheetId="5" state="visible" r:id="rId7"/>
    <sheet name="1.4 VaR Backtesting" sheetId="6" state="visible" r:id="rId8"/>
    <sheet name="1.5 Bond VaR" sheetId="7" state="visible" r:id="rId9"/>
    <sheet name="1.6 FX VaR" sheetId="8" state="visible" r:id="rId10"/>
    <sheet name="1.7 VaR vs ES" sheetId="9" state="visible" r:id="rId11"/>
    <sheet name="1.8 Basel Market Capital" sheetId="10" state="visible" r:id="rId12"/>
    <sheet name="M2 Sensitivity Concept" sheetId="11" state="visible" r:id="rId13"/>
    <sheet name="2.1 Bond Duration" sheetId="12" state="visible" r:id="rId14"/>
    <sheet name="2.2 Convexity" sheetId="13" state="visible" r:id="rId15"/>
    <sheet name="2.3 PV01 Hedging" sheetId="14" state="visible" r:id="rId16"/>
    <sheet name="2.4 Beta Hedging" sheetId="15" state="visible" r:id="rId17"/>
    <sheet name="2.5 Option Greeks" sheetId="16" state="visible" r:id="rId18"/>
    <sheet name="2.6 Delta-Gamma Hedge" sheetId="17" state="visible" r:id="rId19"/>
    <sheet name="2.7 Duration Gap" sheetId="18" state="visible" r:id="rId20"/>
    <sheet name="2.8 Effective Duration" sheetId="19" state="visible" r:id="rId21"/>
    <sheet name="M3 RAROC Concept" sheetId="20" state="visible" r:id="rId22"/>
    <sheet name="3.1 Loan RAROC" sheetId="21" state="visible" r:id="rId23"/>
    <sheet name="3.2 Risk-Based Pricing" sheetId="22" state="visible" r:id="rId24"/>
    <sheet name="3.3 Corporate vs SME" sheetId="23" state="visible" r:id="rId25"/>
    <sheet name="3.4 Economic Capital" sheetId="24" state="visible" r:id="rId26"/>
    <sheet name="3.5 Trading Desk RAROC" sheetId="25" state="visible" r:id="rId27"/>
    <sheet name="3.6 Relationship RAROC" sheetId="26" state="visible" r:id="rId28"/>
    <sheet name="3.7 Capital Allocation" sheetId="27" state="visible" r:id="rId29"/>
    <sheet name="3.8 Collateral Impact" sheetId="28" state="visible" r:id="rId30"/>
    <sheet name="M4 Regression Concept" sheetId="29" state="visible" r:id="rId31"/>
    <sheet name="4.1 Beta Regression" sheetId="30" state="visible" r:id="rId32"/>
    <sheet name="4.2 Multiple Regression" sheetId="31" state="visible" r:id="rId33"/>
    <sheet name="4.3 Hedge Ratio" sheetId="32" state="visible" r:id="rId34"/>
    <sheet name="4.4 Portfolio Variance" sheetId="33" state="visible" r:id="rId35"/>
    <sheet name="4.5 Variance Decomposition" sheetId="34" state="visible" r:id="rId36"/>
    <sheet name="4.6 Fund Volatility" sheetId="35" state="visible" r:id="rId37"/>
    <sheet name="4.7 Flexible Budget" sheetId="36" state="visible" r:id="rId38"/>
    <sheet name="4.8 ANOVA" sheetId="37" state="visible" r:id="rId39"/>
    <sheet name="Formula Sheet" sheetId="38" state="visible" r:id="rId4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<sst xmlns="http://schemas.openxmlformats.org/spreadsheetml/2006/main" count="1498" uniqueCount="993">
  <si>
    <t xml:space="preserve">COMandFIN</t>
  </si>
  <si>
    <t xml:space="preserve">Financial Risk Management — Case Study Workbook</t>
  </si>
  <si>
    <t xml:space="preserve">Value at Risk  •  Sensitivity Measures  •  RAROC  •  Regression &amp; Variance Analysis</t>
  </si>
  <si>
    <t xml:space="preserve">STUDENT EDITION — fill in the yellow cells</t>
  </si>
  <si>
    <t xml:space="preserve">Prepared by CA Ankit Bajaj, Founder, COMandFIN Edutech Pvt. Ltd.</t>
  </si>
  <si>
    <t xml:space="preserve">LEGEND</t>
  </si>
  <si>
    <t xml:space="preserve">12.50</t>
  </si>
  <si>
    <t xml:space="preserve">Blue text = given input / assumption (change to run what-if analysis)</t>
  </si>
  <si>
    <t xml:space="preserve">Yellow cell = your answer. Example: in Case 1.1, 1-day 95% VaR = 1.645 × 1.20% × 50 = 0.9870</t>
  </si>
  <si>
    <t xml:space="preserve">Conventions: ₹ crore unless stated; z₉₅ = 1.645, z₉₉ = 2.326; tax 25% and post-tax hurdle 15% in RAROC cases. Company names and case data are illustrative.</t>
  </si>
  <si>
    <t xml:space="preserve">CONTENTS (click a sheet name to open it)</t>
  </si>
  <si>
    <t xml:space="preserve">Case</t>
  </si>
  <si>
    <t xml:space="preserve">Title</t>
  </si>
  <si>
    <t xml:space="preserve">Sheet</t>
  </si>
  <si>
    <t xml:space="preserve">Module 1</t>
  </si>
  <si>
    <t xml:space="preserve">Value at Risk (VaR) — concept note</t>
  </si>
  <si>
    <t xml:space="preserve">M1 VaR Concept</t>
  </si>
  <si>
    <t xml:space="preserve">1.1</t>
  </si>
  <si>
    <t xml:space="preserve">Parametric VaR for an Equity ETF Portfolio</t>
  </si>
  <si>
    <t xml:space="preserve">1.1 Parametric VaR</t>
  </si>
  <si>
    <t xml:space="preserve">1.2</t>
  </si>
  <si>
    <t xml:space="preserve">Diversification Benefit in a Two-Asset Portfolio</t>
  </si>
  <si>
    <t xml:space="preserve">1.2 Portfolio VaR</t>
  </si>
  <si>
    <t xml:space="preserve">1.3</t>
  </si>
  <si>
    <t xml:space="preserve">Historical Simulation VaR and Expected Shortfall</t>
  </si>
  <si>
    <t xml:space="preserve">1.3 Historical VaR &amp; ES</t>
  </si>
  <si>
    <t xml:space="preserve">1.4</t>
  </si>
  <si>
    <t xml:space="preserve">VaR Backtesting and the Basel Traffic-Light Test</t>
  </si>
  <si>
    <t xml:space="preserve">1.4 VaR Backtesting</t>
  </si>
  <si>
    <t xml:space="preserve">1.5</t>
  </si>
  <si>
    <t xml:space="preserve">Interest-Rate VaR on a Government Securities Portfolio</t>
  </si>
  <si>
    <t xml:space="preserve">1.5 Bond VaR</t>
  </si>
  <si>
    <t xml:space="preserve">1.6</t>
  </si>
  <si>
    <t xml:space="preserve">FX VaR for an Importer’s USD Payable</t>
  </si>
  <si>
    <t xml:space="preserve">1.6 FX VaR</t>
  </si>
  <si>
    <t xml:space="preserve">1.7</t>
  </si>
  <si>
    <t xml:space="preserve">VaR versus Expected Shortfall under FRTB</t>
  </si>
  <si>
    <t xml:space="preserve">1.7 VaR vs ES</t>
  </si>
  <si>
    <t xml:space="preserve">1.8</t>
  </si>
  <si>
    <t xml:space="preserve">Market Risk Capital with VaR and Stressed VaR (Basel 2.5)</t>
  </si>
  <si>
    <t xml:space="preserve">1.8 Basel Market Capital</t>
  </si>
  <si>
    <t xml:space="preserve">Module 2</t>
  </si>
  <si>
    <t xml:space="preserve">Sensitivity Measures — concept note</t>
  </si>
  <si>
    <t xml:space="preserve">M2 Sensitivity Concept</t>
  </si>
  <si>
    <t xml:space="preserve">2.1</t>
  </si>
  <si>
    <t xml:space="preserve">Duration of a Corporate Bond</t>
  </si>
  <si>
    <t xml:space="preserve">2.1 Bond Duration</t>
  </si>
  <si>
    <t xml:space="preserve">2.2</t>
  </si>
  <si>
    <t xml:space="preserve">Convexity Adjustment for Large Rate Shocks</t>
  </si>
  <si>
    <t xml:space="preserve">2.2 Convexity</t>
  </si>
  <si>
    <t xml:space="preserve">2.3</t>
  </si>
  <si>
    <t xml:space="preserve">PV01 Hedging with Interest Rate Futures</t>
  </si>
  <si>
    <t xml:space="preserve">2.3 PV01 Hedging</t>
  </si>
  <si>
    <t xml:space="preserve">2.4</t>
  </si>
  <si>
    <t xml:space="preserve">Beta Hedging an Equity Portfolio with Nifty Futures</t>
  </si>
  <si>
    <t xml:space="preserve">2.4 Beta Hedging</t>
  </si>
  <si>
    <t xml:space="preserve">2.5</t>
  </si>
  <si>
    <t xml:space="preserve">Option Greeks using Black–Scholes</t>
  </si>
  <si>
    <t xml:space="preserve">2.5 Option Greeks</t>
  </si>
  <si>
    <t xml:space="preserve">2.6</t>
  </si>
  <si>
    <t xml:space="preserve">Delta–Gamma Neutral Hedging of an Options Book</t>
  </si>
  <si>
    <t xml:space="preserve">2.6 Delta-Gamma Hedge</t>
  </si>
  <si>
    <t xml:space="preserve">2.7</t>
  </si>
  <si>
    <t xml:space="preserve">Duration Gap Analysis — An SVB-Style Stress</t>
  </si>
  <si>
    <t xml:space="preserve">2.7 Duration Gap</t>
  </si>
  <si>
    <t xml:space="preserve">2.8</t>
  </si>
  <si>
    <t xml:space="preserve">Effective Duration and Negative Convexity of a Callable Bond</t>
  </si>
  <si>
    <t xml:space="preserve">2.8 Effective Duration</t>
  </si>
  <si>
    <t xml:space="preserve">Module 3</t>
  </si>
  <si>
    <t xml:space="preserve">Risk-Adjusted Return on Capital (RAROC) — concept note</t>
  </si>
  <si>
    <t xml:space="preserve">M3 RAROC Concept</t>
  </si>
  <si>
    <t xml:space="preserve">3.1</t>
  </si>
  <si>
    <t xml:space="preserve">RAROC of a Corporate Term Loan</t>
  </si>
  <si>
    <t xml:space="preserve">3.1 Loan RAROC</t>
  </si>
  <si>
    <t xml:space="preserve">3.2</t>
  </si>
  <si>
    <t xml:space="preserve">Risk-Based Pricing — Minimum Lending Rate</t>
  </si>
  <si>
    <t xml:space="preserve">3.2 Risk-Based Pricing</t>
  </si>
  <si>
    <t xml:space="preserve">3.3</t>
  </si>
  <si>
    <t xml:space="preserve">Large Corporate vs SME — Which Customer Creates More Value?</t>
  </si>
  <si>
    <t xml:space="preserve">3.3 Corporate vs SME</t>
  </si>
  <si>
    <t xml:space="preserve">3.4</t>
  </si>
  <si>
    <t xml:space="preserve">Economic Capital from a Credit Loss Distribution</t>
  </si>
  <si>
    <t xml:space="preserve">3.4 Economic Capital</t>
  </si>
  <si>
    <t xml:space="preserve">3.5</t>
  </si>
  <si>
    <t xml:space="preserve">RAROC for Treasury Trading Desks</t>
  </si>
  <si>
    <t xml:space="preserve">3.5 Trading Desk RAROC</t>
  </si>
  <si>
    <t xml:space="preserve">3.6</t>
  </si>
  <si>
    <t xml:space="preserve">Relationship RAROC with Fee Cross-Sell</t>
  </si>
  <si>
    <t xml:space="preserve">3.6 Relationship RAROC</t>
  </si>
  <si>
    <t xml:space="preserve">3.7</t>
  </si>
  <si>
    <t xml:space="preserve">Capital Allocation with Diversification</t>
  </si>
  <si>
    <t xml:space="preserve">3.7 Capital Allocation</t>
  </si>
  <si>
    <t xml:space="preserve">3.8</t>
  </si>
  <si>
    <t xml:space="preserve">Impact of Collateral on RAROC</t>
  </si>
  <si>
    <t xml:space="preserve">3.8 Collateral Impact</t>
  </si>
  <si>
    <t xml:space="preserve">Module 4</t>
  </si>
  <si>
    <t xml:space="preserve">Regression &amp; Variance Analysis — concept note</t>
  </si>
  <si>
    <t xml:space="preserve">M4 Regression Concept</t>
  </si>
  <si>
    <t xml:space="preserve">4.1</t>
  </si>
  <si>
    <t xml:space="preserve">Estimating Stock Beta by OLS Regression</t>
  </si>
  <si>
    <t xml:space="preserve">4.1 Beta Regression</t>
  </si>
  <si>
    <t xml:space="preserve">4.2</t>
  </si>
  <si>
    <t xml:space="preserve">Interpreting a Multiple Regression — NPA Stress Model</t>
  </si>
  <si>
    <t xml:space="preserve">4.2 Multiple Regression</t>
  </si>
  <si>
    <t xml:space="preserve">4.3</t>
  </si>
  <si>
    <t xml:space="preserve">Minimum-Variance Hedge Ratio for an Airline</t>
  </si>
  <si>
    <t xml:space="preserve">4.3 Hedge Ratio</t>
  </si>
  <si>
    <t xml:space="preserve">4.4</t>
  </si>
  <si>
    <t xml:space="preserve">Portfolio Variance and Risk Contribution</t>
  </si>
  <si>
    <t xml:space="preserve">4.4 Portfolio Variance</t>
  </si>
  <si>
    <t xml:space="preserve">4.5</t>
  </si>
  <si>
    <t xml:space="preserve">Systematic vs Idiosyncratic Variance</t>
  </si>
  <si>
    <t xml:space="preserve">4.5 Variance Decomposition</t>
  </si>
  <si>
    <t xml:space="preserve">4.6</t>
  </si>
  <si>
    <t xml:space="preserve">Variance, Volatility and Risk-Adjusted Performance of Two Funds</t>
  </si>
  <si>
    <t xml:space="preserve">4.6 Fund Volatility</t>
  </si>
  <si>
    <t xml:space="preserve">4.7</t>
  </si>
  <si>
    <t xml:space="preserve">Regression-Based Flexible Budget and Cost Variance Analysis</t>
  </si>
  <si>
    <t xml:space="preserve">4.7 Flexible Budget</t>
  </si>
  <si>
    <t xml:space="preserve">4.8</t>
  </si>
  <si>
    <t xml:space="preserve">ANOVA Table and Goodness of Fit</t>
  </si>
  <si>
    <t xml:space="preserve">4.8 ANOVA</t>
  </si>
  <si>
    <t xml:space="preserve">Appendix</t>
  </si>
  <si>
    <t xml:space="preserve">Formula sheet &amp; Excel functions</t>
  </si>
  <si>
    <t xml:space="preserve">Formula Sheet</t>
  </si>
  <si>
    <t xml:space="preserve">Module 1  |  Value at Risk (VaR) — Concept Note</t>
  </si>
  <si>
    <t xml:space="preserve">◄ Back to Index</t>
  </si>
  <si>
    <t xml:space="preserve">1. WHAT IS IT?</t>
  </si>
  <si>
    <t xml:space="preserve">Value at Risk is the maximum loss a portfolio is expected to suffer over a defined holding period, at a given confidence level, under normal market conditions. A statement such as “1-day 99% VaR is ₹5 crore” means that on 99 trading days out of 100 the loss should not exceed ₹5 crore — and on roughly one day in a hundred, it will. VaR therefore has three inputs: the confidence level, the holding period and the loss distribution of the portfolio.</t>
  </si>
  <si>
    <t xml:space="preserve">2. WHY IS IT IMPORTANT?</t>
  </si>
  <si>
    <t xml:space="preserve">•  Converts exposures in equities, bonds, currencies and commodities into one comparable rupee number for the Board.</t>
  </si>
  <si>
    <t xml:space="preserve">•  Basis for trading limits, risk appetite statements and desk-level capital allocation.</t>
  </si>
  <si>
    <t xml:space="preserve">•  Regulatory use: Basel market-risk capital (internal models), exchange margins (SEBI’s VaR margin in the cash segment), and ICAAP under Pillar 2.</t>
  </si>
  <si>
    <t xml:space="preserve">•  Communicates risk in plain language to non-specialists — one of the reasons J.P. Morgan’s “4:15 report” and its RiskMetrics methodology (1994) made VaR an industry standard.</t>
  </si>
  <si>
    <t xml:space="preserve">3. HOW IS IT USED IN INDUSTRY?</t>
  </si>
  <si>
    <t xml:space="preserve">•  Banks’ treasury and trading desks — daily VaR reports by desk, product and risk factor; limit breaches escalate to the ALCO/Risk Committee.</t>
  </si>
  <si>
    <t xml:space="preserve">•  Clearing corporations (NSE Clearing, ICCL) — VaR margins plus extreme-loss margins are collected from members on cash-market positions.</t>
  </si>
  <si>
    <t xml:space="preserve">•  Mutual funds, insurers and PMS — VaR and tracking-error limits in investment policy statements; stress tests alongside VaR.</t>
  </si>
  <si>
    <t xml:space="preserve">•  Corporates — Cash-flow-at-Risk / FX VaR for import–export exposures and commodity procurement.</t>
  </si>
  <si>
    <t xml:space="preserve">4. KEY FORMULAS</t>
  </si>
  <si>
    <t xml:space="preserve">Measure</t>
  </si>
  <si>
    <t xml:space="preserve">Formula</t>
  </si>
  <si>
    <t xml:space="preserve">Parametric VaR</t>
  </si>
  <si>
    <t xml:space="preserve">VaR = z_c × σ × V        (z₉₅ = 1.645, z₉₉ = 2.326)</t>
  </si>
  <si>
    <t xml:space="preserve">Mean-adjusted VaR</t>
  </si>
  <si>
    <t xml:space="preserve">VaR = (z_c × σ − μ) × V</t>
  </si>
  <si>
    <t xml:space="preserve">Square-root-of-time scaling</t>
  </si>
  <si>
    <t xml:space="preserve">VaR_T-day = VaR_1-day × √T   (assumes i.i.d. returns)</t>
  </si>
  <si>
    <t xml:space="preserve">Two-asset portfolio VaR</t>
  </si>
  <si>
    <t xml:space="preserve">VaR_p = √(VaR₁² + VaR₂² + 2ρ·VaR₁·VaR₂)</t>
  </si>
  <si>
    <t xml:space="preserve">Diversification benefit</t>
  </si>
  <si>
    <t xml:space="preserve">Σ standalone VaRs − Portfolio VaR</t>
  </si>
  <si>
    <t xml:space="preserve">Expected Shortfall (normal)</t>
  </si>
  <si>
    <t xml:space="preserve">ES_c = σ × V × φ(z_c) / (1 − c)</t>
  </si>
  <si>
    <t xml:space="preserve">Bond VaR (delta-normal)</t>
  </si>
  <si>
    <t xml:space="preserve">VaR = V × Modified Duration × σ(Δy) × z_c</t>
  </si>
  <si>
    <t xml:space="preserve">5. GRAPHICAL ILLUSTRATION</t>
  </si>
  <si>
    <t xml:space="preserve">Shaded tails show what VaR measures (the threshold) and what Expected Shortfall measures (the average beyond it).</t>
  </si>
  <si>
    <t xml:space="preserve">Real market returns have fatter tails than the normal curve, so parametric VaR can understate extreme losses.</t>
  </si>
  <si>
    <t xml:space="preserve">6. REAL-LIFE EXAMPLES</t>
  </si>
  <si>
    <t xml:space="preserve">J.P. Morgan — “London Whale” (2012)</t>
  </si>
  <si>
    <t xml:space="preserve">The Chief Investment Office changed its VaR model in January 2012; the new model roughly halved the reported VaR of the synthetic credit portfolio. Positions grew, and losses eventually exceeded US$6 billion. Lesson: VaR model changes need independent validation and VaR must never be the only limit.</t>
  </si>
  <si>
    <t xml:space="preserve">Long-Term Capital Management (1998)</t>
  </si>
  <si>
    <t xml:space="preserve">LTCM’s risk models, calibrated on calm historical data, implied a very low probability of large losses. After Russia’s default, correlations converged and liquidity vanished; a Federal Reserve-brokered consortium of 14 institutions injected about US$3.6 billion. Lesson: VaR says nothing about the size of losses beyond the threshold or about liquidity.</t>
  </si>
  <si>
    <t xml:space="preserve">Basel FRTB — move from VaR to Expected Shortfall</t>
  </si>
  <si>
    <t xml:space="preserve">Under the Fundamental Review of the Trading Book (final standard, January 2019), internal-model banks replace 99% VaR with 97.5% Expected Shortfall calibrated to a period of stress, because ES captures tail severity and is sub-additive.</t>
  </si>
  <si>
    <t xml:space="preserve">Indian equity market margins</t>
  </si>
  <si>
    <t xml:space="preserve">In India’s cash segment, clearing corporations collect a VaR-based margin together with an Extreme Loss Margin (ELM); scrips are grouped by liquidity and volatility, so illiquid stocks attract materially higher VaR margins.</t>
  </si>
  <si>
    <t xml:space="preserve">7. COMMON MISTAKES</t>
  </si>
  <si>
    <t xml:space="preserve">•  Treating VaR as the “worst-case loss” — it is a threshold, not a maximum.</t>
  </si>
  <si>
    <t xml:space="preserve">•  Applying √T scaling to returns that are autocorrelated or to portfolios that change during the horizon.</t>
  </si>
  <si>
    <t xml:space="preserve">•  Adding standalone VaRs to get portfolio VaR (ignores correlation) — or assuming correlations stay stable during a crisis.</t>
  </si>
  <si>
    <t xml:space="preserve">•  Using parametric VaR for option-heavy books where P&amp;L is non-linear.</t>
  </si>
  <si>
    <t xml:space="preserve">•  Ignoring backtesting results; a model with too many exceptions must be recalibrated.</t>
  </si>
  <si>
    <t xml:space="preserve">8. INTERVIEW QUESTIONS</t>
  </si>
  <si>
    <t xml:space="preserve">Q1. What does a 10-day 99% VaR of ₹20 crore mean?</t>
  </si>
  <si>
    <t xml:space="preserve">Q2. Why is VaR not a coherent risk measure?</t>
  </si>
  <si>
    <t xml:space="preserve">Q3. How would you choose between historical and Monte Carlo VaR?</t>
  </si>
  <si>
    <t xml:space="preserve">Q4. What is backtesting and the Basel traffic-light approach?</t>
  </si>
  <si>
    <t xml:space="preserve">Q5. What is Stressed VaR?</t>
  </si>
  <si>
    <t xml:space="preserve">Case 1.1  |  Parametric VaR for an Equity ETF Portfolio</t>
  </si>
  <si>
    <t xml:space="preserve">Single-asset VaR | Confidence level | Time scaling</t>
  </si>
  <si>
    <t xml:space="preserve">BACKGROUND</t>
  </si>
  <si>
    <t xml:space="preserve">Shreeram Asset Managers runs a proprietary book holding ₹50 crore in a Nifty 50 ETF. The CRO wants a one-page risk summary for the Investment Committee meeting. Daily returns over the last year show a standard deviation of 1.20% and an average daily return of 0.05%.</t>
  </si>
  <si>
    <t xml:space="preserve">REQUIRED</t>
  </si>
  <si>
    <t xml:space="preserve">(a)  Compute the 1-day VaR at 95% and 99% confidence.</t>
  </si>
  <si>
    <t xml:space="preserve">(b)  Compute the 10-day 99% VaR using square-root-of-time scaling.</t>
  </si>
  <si>
    <t xml:space="preserve">(c)  Recompute the 1-day 99% VaR after adjusting for the mean return. Is the adjustment material?</t>
  </si>
  <si>
    <t xml:space="preserve">(d)  Explain in one sentence, for the Investment Committee, what the 1-day 99% VaR figure means.</t>
  </si>
  <si>
    <t xml:space="preserve">INPUTS (GIVEN DATA)</t>
  </si>
  <si>
    <t xml:space="preserve">Parameter</t>
  </si>
  <si>
    <t xml:space="preserve">Value</t>
  </si>
  <si>
    <t xml:space="preserve">Note</t>
  </si>
  <si>
    <t xml:space="preserve">Portfolio value (₹ crore)</t>
  </si>
  <si>
    <t xml:space="preserve">Daily volatility (σ)</t>
  </si>
  <si>
    <t xml:space="preserve">Average daily return (μ)</t>
  </si>
  <si>
    <t xml:space="preserve">z-value 95%</t>
  </si>
  <si>
    <t xml:space="preserve">Excel: NORM.S.INV(0.95)</t>
  </si>
  <si>
    <t xml:space="preserve">z-value 99%</t>
  </si>
  <si>
    <t xml:space="preserve">Excel: NORM.S.INV(0.99)</t>
  </si>
  <si>
    <t xml:space="preserve">Holding period (days)</t>
  </si>
  <si>
    <t xml:space="preserve">YOUR WORKINGS — FILL IN THE YELLOW CELLS</t>
  </si>
  <si>
    <t xml:space="preserve">1-day 95% VaR (₹ crore)</t>
  </si>
  <si>
    <t xml:space="preserve">1-day 99% VaR (₹ crore)</t>
  </si>
  <si>
    <t xml:space="preserve">10-day 99% VaR (₹ crore)</t>
  </si>
  <si>
    <t xml:space="preserve">Mean-adjusted 1-day 99% VaR (₹ crore)</t>
  </si>
  <si>
    <t xml:space="preserve">Reduction from mean adjustment (%)</t>
  </si>
  <si>
    <t xml:space="preserve">Case 1.2  |  Diversification Benefit in a Two-Asset Portfolio</t>
  </si>
  <si>
    <t xml:space="preserve">Portfolio VaR | Correlation | Diversification</t>
  </si>
  <si>
    <t xml:space="preserve">A family office holds ₹60 crore in Indian equities and ₹40 crore in Gold ETFs. The patriarch believes gold is a “hedge” and wants to know how much risk the gold allocation actually removes.</t>
  </si>
  <si>
    <t xml:space="preserve">(a)  Compute the standalone 1-day 99% VaR of each asset.</t>
  </si>
  <si>
    <t xml:space="preserve">(b)  Compute the undiversified VaR and the diversified portfolio VaR.</t>
  </si>
  <si>
    <t xml:space="preserve">(c)  Quantify the diversification benefit in ₹ and as a % of undiversified VaR.</t>
  </si>
  <si>
    <t xml:space="preserve">(d)  Recompute portfolio VaR if correlation rises to +0.50 and to +1.00. What does this imply in a crisis?</t>
  </si>
  <si>
    <t xml:space="preserve">Equity value (₹ crore)</t>
  </si>
  <si>
    <t xml:space="preserve">Equity daily σ</t>
  </si>
  <si>
    <t xml:space="preserve">Gold ETF value (₹ crore)</t>
  </si>
  <si>
    <t xml:space="preserve">Gold daily σ</t>
  </si>
  <si>
    <t xml:space="preserve">Correlation (base case)</t>
  </si>
  <si>
    <t xml:space="preserve">Correlation (scenario 2)</t>
  </si>
  <si>
    <t xml:space="preserve">Correlation (scenario 3)</t>
  </si>
  <si>
    <t xml:space="preserve">Equity standalone VaR (₹ crore)</t>
  </si>
  <si>
    <t xml:space="preserve">Gold standalone VaR (₹ crore)</t>
  </si>
  <si>
    <t xml:space="preserve">Undiversified VaR (₹ crore)</t>
  </si>
  <si>
    <t xml:space="preserve">Diversified portfolio VaR (₹ crore)</t>
  </si>
  <si>
    <t xml:space="preserve">Diversification benefit (₹ crore)</t>
  </si>
  <si>
    <t xml:space="preserve">Benefit as % of undiversified VaR</t>
  </si>
  <si>
    <t xml:space="preserve">Portfolio VaR at scenario-2 correlation</t>
  </si>
  <si>
    <t xml:space="preserve">Portfolio VaR at scenario-3 correlation</t>
  </si>
  <si>
    <t xml:space="preserve">Case 1.3  |  Historical Simulation VaR and Expected Shortfall</t>
  </si>
  <si>
    <t xml:space="preserve">Historical VaR | Expected Shortfall | Fat tails</t>
  </si>
  <si>
    <t xml:space="preserve">The market risk unit of Konark Bank re-priced its ₹80 crore equity trading book over the last 500 trading days. The 15 worst daily returns (sorted) are shown below. Bank policy uses the 5th worst observation as the 99% VaR (500 × 1% = 5) and the average of the worst 12 observations as the 97.5% ES (500 × 2.5% = 12.5, rounded down).</t>
  </si>
  <si>
    <t xml:space="preserve">(a)  Compute the 1-day 99% historical VaR in % and ₹.</t>
  </si>
  <si>
    <t xml:space="preserve">(b)  Compute the 1-day 99% Expected Shortfall (average of the worst 5) and the 97.5% ES (average of the worst 12).</t>
  </si>
  <si>
    <t xml:space="preserve">(c)  If the book’s daily σ is 1.50%, compute 99% parametric VaR and compare it with the historical estimate.</t>
  </si>
  <si>
    <t xml:space="preserve">(d)  Graph task: plot the 15 worst returns as a bar chart and mark the VaR cut-off.</t>
  </si>
  <si>
    <t xml:space="preserve">(e)  What does the gap between the two VaR numbers tell you about the return distribution?</t>
  </si>
  <si>
    <t xml:space="preserve">Rank used for 99% VaR (500 × 1%)</t>
  </si>
  <si>
    <t xml:space="preserve">Observations averaged for 97.5% ES</t>
  </si>
  <si>
    <t xml:space="preserve">Daily σ for parametric comparison</t>
  </si>
  <si>
    <t xml:space="preserve">Rank</t>
  </si>
  <si>
    <t xml:space="preserve">Daily return</t>
  </si>
  <si>
    <t xml:space="preserve">99% historical VaR (%)</t>
  </si>
  <si>
    <t xml:space="preserve">99% historical VaR (₹ crore)</t>
  </si>
  <si>
    <t xml:space="preserve">99% ES — average of worst k (%)</t>
  </si>
  <si>
    <t xml:space="preserve">99% ES (₹ crore)</t>
  </si>
  <si>
    <t xml:space="preserve">97.5% ES — average of worst 12 (%)</t>
  </si>
  <si>
    <t xml:space="preserve">97.5% ES (₹ crore)</t>
  </si>
  <si>
    <t xml:space="preserve">Parametric 99% VaR (%)</t>
  </si>
  <si>
    <t xml:space="preserve">Parametric 99% VaR (₹ crore)</t>
  </si>
  <si>
    <t xml:space="preserve">Historical minus parametric (₹ crore)</t>
  </si>
  <si>
    <t xml:space="preserve">GRAPH TASK</t>
  </si>
  <si>
    <t xml:space="preserve">Insert your Excel chart in this area: bar chart of the 15 worst returns; mark the 5th worst as the 99% VaR cut-off.</t>
  </si>
  <si>
    <t xml:space="preserve">Case 1.4  |  VaR Backtesting and the Basel Traffic-Light Test</t>
  </si>
  <si>
    <t xml:space="preserve">Backtesting | Exceptions | Capital multiplier</t>
  </si>
  <si>
    <t xml:space="preserve">Over the last 250 trading days, Deccan Bank’s 1-day 99% VaR model recorded 8 days on which the actual trading loss exceeded the predicted VaR. The average 10-day 99% VaR over the last 60 days is ₹15 crore. The Head of Market Risk must present the backtesting result to the Risk Management Committee of the Board.</t>
  </si>
  <si>
    <t xml:space="preserve">(a)  How many exceptions would you expect for a correctly calibrated model?</t>
  </si>
  <si>
    <t xml:space="preserve">(b)  Using the binomial distribution, compute the probability of 8 or more exceptions if the model is correct.</t>
  </si>
  <si>
    <t xml:space="preserve">(c)  Identify the Basel zone and the capital multiplier.</t>
  </si>
  <si>
    <t xml:space="preserve">(d)  Compute the VaR-based capital charge (multiplier × average VaR) and the additional capital versus the green zone.</t>
  </si>
  <si>
    <t xml:space="preserve">(e)  Recommend two actions for the Risk Committee.</t>
  </si>
  <si>
    <t xml:space="preserve">Observation days</t>
  </si>
  <si>
    <t xml:space="preserve">Exceptions observed</t>
  </si>
  <si>
    <t xml:space="preserve">Tail probability (1 − 99%)</t>
  </si>
  <si>
    <t xml:space="preserve">Average 10-day 99% VaR, last 60 days (₹ crore)</t>
  </si>
  <si>
    <t xml:space="preserve">Base multiplier</t>
  </si>
  <si>
    <t xml:space="preserve">Exceptions (yellow zone)</t>
  </si>
  <si>
    <t xml:space="preserve">Plus factor</t>
  </si>
  <si>
    <t xml:space="preserve">Basel traffic light: 0–4 exceptions = Green (plus factor 0); 5–9 = Yellow (table above); 10+ = Red (plus factor 1.00).</t>
  </si>
  <si>
    <t xml:space="preserve">Expected exceptions</t>
  </si>
  <si>
    <t xml:space="preserve">P(X ≥ observed) if model is correct</t>
  </si>
  <si>
    <t xml:space="preserve">Basel zone</t>
  </si>
  <si>
    <t xml:space="preserve">Capital multiplier</t>
  </si>
  <si>
    <t xml:space="preserve">VaR capital charge (₹ crore)</t>
  </si>
  <si>
    <t xml:space="preserve">Green-zone capital charge (₹ crore)</t>
  </si>
  <si>
    <t xml:space="preserve">Additional capital (₹ crore)</t>
  </si>
  <si>
    <t xml:space="preserve">Case 1.5  |  Interest-Rate VaR on a Government Securities Portfolio</t>
  </si>
  <si>
    <t xml:space="preserve">Bond VaR | Modified duration | PV01</t>
  </si>
  <si>
    <t xml:space="preserve">A cooperative bank’s treasury holds ₹200 crore of Government securities in its AFS book with a portfolio modified duration of 6.5. Historical analysis shows the daily standard deviation of the 10-year G-sec yield change is 6 bps. The Board wants to know the rupee risk arising from yield movements.</t>
  </si>
  <si>
    <t xml:space="preserve">(a)  Compute the portfolio PV01 (value change for a 1 bp move).</t>
  </si>
  <si>
    <t xml:space="preserve">(b)  Compute the 1-day and 10-day 99% VaR.</t>
  </si>
  <si>
    <t xml:space="preserve">(c)  Express the 1-day VaR as an equivalent adverse yield move in bps.</t>
  </si>
  <si>
    <t xml:space="preserve">(d)  State two limitations of using modified duration for VaR.</t>
  </si>
  <si>
    <t xml:space="preserve">Market value (₹ crore)</t>
  </si>
  <si>
    <t xml:space="preserve">Modified duration</t>
  </si>
  <si>
    <t xml:space="preserve">Daily σ of yield change</t>
  </si>
  <si>
    <t xml:space="preserve">One basis point</t>
  </si>
  <si>
    <t xml:space="preserve">PV01 (₹ crore per bp)</t>
  </si>
  <si>
    <t xml:space="preserve">PV01 (₹ lakh per bp)</t>
  </si>
  <si>
    <t xml:space="preserve">Equivalent adverse yield move (bps)</t>
  </si>
  <si>
    <t xml:space="preserve">Case 1.6  |  FX VaR for an Importer’s USD Payable</t>
  </si>
  <si>
    <t xml:space="preserve">Currency risk | Corporate VaR | Hedge decision</t>
  </si>
  <si>
    <t xml:space="preserve">Bharat Electronics Components Ltd. (an unlisted importer) has a USD 10 million payable due in 10 trading days. Spot USD/INR is 84.00 and the daily volatility of USD/INR is 0.35%. The CFO wants to know the rupee risk at 95% confidence and the impact of hedging 70% of the exposure with a forward contract.</t>
  </si>
  <si>
    <t xml:space="preserve">(a)  Compute the INR value of the exposure.</t>
  </si>
  <si>
    <t xml:space="preserve">(b)  Compute the 1-day and 10-day 95% VaR in INR.</t>
  </si>
  <si>
    <t xml:space="preserve">(c)  Compute the residual 10-day VaR after hedging 70% with forwards.</t>
  </si>
  <si>
    <t xml:space="preserve">(d)  For an importer, which direction of the rupee creates the loss? Explain.</t>
  </si>
  <si>
    <t xml:space="preserve">Exposure (USD)</t>
  </si>
  <si>
    <t xml:space="preserve">Spot USD/INR</t>
  </si>
  <si>
    <t xml:space="preserve">Daily σ of USD/INR</t>
  </si>
  <si>
    <t xml:space="preserve">Horizon (days)</t>
  </si>
  <si>
    <t xml:space="preserve">Hedge ratio (forward cover)</t>
  </si>
  <si>
    <t xml:space="preserve">Rupees per crore</t>
  </si>
  <si>
    <t xml:space="preserve">INR exposure (₹ crore)</t>
  </si>
  <si>
    <t xml:space="preserve">10-day 95% VaR (₹ crore)</t>
  </si>
  <si>
    <t xml:space="preserve">Residual 10-day VaR after hedge (₹ crore)</t>
  </si>
  <si>
    <t xml:space="preserve">USD/INR at the 10-day adverse move</t>
  </si>
  <si>
    <t xml:space="preserve">Case 1.7  |  VaR versus Expected Shortfall under FRTB</t>
  </si>
  <si>
    <t xml:space="preserve">Expected Shortfall | Coherence | Regulation</t>
  </si>
  <si>
    <t xml:space="preserve">A private bank’s ₹100 crore trading portfolio has a daily σ of 1.50%. The bank is preparing for the Basel FRTB transition, which replaces 99% VaR with 97.5% Expected Shortfall. The Board asks whether the change will increase capital.</t>
  </si>
  <si>
    <t xml:space="preserve">(a)  Compute 1-day VaR at 97.5% and 99%.</t>
  </si>
  <si>
    <t xml:space="preserve">(b)  Compute 1-day ES at 97.5% and 99% assuming normality (ES = σ·V·φ(z)/(1 − c)).</t>
  </si>
  <si>
    <t xml:space="preserve">(c)  Compare 97.5% ES with 99% VaR. Why did regulators choose 97.5%?</t>
  </si>
  <si>
    <t xml:space="preserve">(d)  Give two reasons why ES is superior to VaR.</t>
  </si>
  <si>
    <t xml:space="preserve">Daily σ</t>
  </si>
  <si>
    <t xml:space="preserve">Confidence level 1</t>
  </si>
  <si>
    <t xml:space="preserve">Confidence level 2</t>
  </si>
  <si>
    <t xml:space="preserve">z at confidence 1</t>
  </si>
  <si>
    <t xml:space="preserve">z at confidence 2</t>
  </si>
  <si>
    <t xml:space="preserve">VaR 97.5% (₹ crore)</t>
  </si>
  <si>
    <t xml:space="preserve">VaR 99% (₹ crore)</t>
  </si>
  <si>
    <t xml:space="preserve">ES 97.5% (₹ crore)</t>
  </si>
  <si>
    <t xml:space="preserve">ES 99% (₹ crore)</t>
  </si>
  <si>
    <t xml:space="preserve">ES 97.5% ÷ VaR 99%</t>
  </si>
  <si>
    <t xml:space="preserve">Case 1.8  |  Market Risk Capital with VaR and Stressed VaR (Basel 2.5)</t>
  </si>
  <si>
    <t xml:space="preserve">Regulatory capital | Stressed VaR | Multiplier</t>
  </si>
  <si>
    <t xml:space="preserve">A bank using the internal models approach reports the following 10-day 99% figures (₹ crore). The multiplier is 3.0 in the green zone; following a poor backtest, the regulator may raise it to 3.5.</t>
  </si>
  <si>
    <t xml:space="preserve">(a)  Compute the market-risk capital charge: max(VaRₜ₋₁, m × VaR_avg) + max(sVaRₜ₋₁, m × sVaR_avg) with m = 3.0.</t>
  </si>
  <si>
    <t xml:space="preserve">(b)  Recompute with m = 3.5 and quantify the increase.</t>
  </si>
  <si>
    <t xml:space="preserve">(c)  Convert the m = 3.0 capital into risk-weighted assets (RWA = capital × 12.5).</t>
  </si>
  <si>
    <t xml:space="preserve">(d)  Why was Stressed VaR introduced after 2008?</t>
  </si>
  <si>
    <t xml:space="preserve">VaR — previous day (₹ crore)</t>
  </si>
  <si>
    <t xml:space="preserve">VaR — 60-day average (₹ crore)</t>
  </si>
  <si>
    <t xml:space="preserve">Stressed VaR — previous day (₹ crore)</t>
  </si>
  <si>
    <t xml:space="preserve">Stressed VaR — 60-day average (₹ crore)</t>
  </si>
  <si>
    <t xml:space="preserve">Multiplier — green zone</t>
  </si>
  <si>
    <t xml:space="preserve">Multiplier — after poor backtest</t>
  </si>
  <si>
    <t xml:space="preserve">RWA conversion factor</t>
  </si>
  <si>
    <t xml:space="preserve">Capital at green multiplier (₹ crore)</t>
  </si>
  <si>
    <t xml:space="preserve">Capital at higher multiplier (₹ crore)</t>
  </si>
  <si>
    <t xml:space="preserve">Increase (₹ crore)</t>
  </si>
  <si>
    <t xml:space="preserve">Market-risk RWA (₹ crore)</t>
  </si>
  <si>
    <t xml:space="preserve">Module 2  |  Sensitivity Measures — Concept Note</t>
  </si>
  <si>
    <t xml:space="preserve">Sensitivity measures quantify how much the value of a position changes for a small change in one risk factor, holding others constant. They are the “first line” of market-risk management: duration, convexity and PV01/DV01 for interest rates; beta for equities; and the option Greeks — delta, gamma, vega, theta and rho — for derivatives. Unlike VaR, they do not need a probability distribution; they answer the question “what happens if this factor moves by one unit?”</t>
  </si>
  <si>
    <t xml:space="preserve">•  They identify which risk factor drives P&amp;L and therefore what to hedge and how much.</t>
  </si>
  <si>
    <t xml:space="preserve">•  They are additive across positions (PV01s and deltas can be summed), making limit-setting and aggregation simple.</t>
  </si>
  <si>
    <t xml:space="preserve">•  Inputs to VaR (delta-normal), stress tests and regulatory capital (the FRTB Standardised Approach is built on sensitivities).</t>
  </si>
  <si>
    <t xml:space="preserve">•  Essential for ALM: duration gap and earnings sensitivity drive Interest Rate Risk in the Banking Book (IRRBB).</t>
  </si>
  <si>
    <t xml:space="preserve">•  Bank treasuries — PV01 limits per portfolio and tenor bucket; duration of AFS/HFT books reported daily.</t>
  </si>
  <si>
    <t xml:space="preserve">•  ALM / IRRBB — duration gap and economic value of equity (EVE) sensitivity to ±200 bps shocks.</t>
  </si>
  <si>
    <t xml:space="preserve">•  Options desks and market makers — delta-hedge continuously, manage gamma and vega limits.</t>
  </si>
  <si>
    <t xml:space="preserve">•  Portfolio managers — beta-adjust portfolios with index futures; duration-manage debt funds.</t>
  </si>
  <si>
    <t xml:space="preserve">Macaulay duration</t>
  </si>
  <si>
    <t xml:space="preserve">D_Mac = Σ [t × PV(CFₜ)] / Price</t>
  </si>
  <si>
    <t xml:space="preserve">D_Mod = D_Mac / (1 + y/m)</t>
  </si>
  <si>
    <t xml:space="preserve">Price change (duration + convexity)</t>
  </si>
  <si>
    <t xml:space="preserve">ΔP/P ≈ −D_Mod × Δy + ½ × Convexity × (Δy)²</t>
  </si>
  <si>
    <t xml:space="preserve">PV01 / DV01</t>
  </si>
  <si>
    <t xml:space="preserve">PV01 = D_Mod × Price × 0.0001</t>
  </si>
  <si>
    <t xml:space="preserve">Effective duration &amp; convexity</t>
  </si>
  <si>
    <t xml:space="preserve">ED = (P₋ − P₊)/(2·P₀·Δy);   EC = (P₋ + P₊ − 2P₀)/(P₀·Δy²)</t>
  </si>
  <si>
    <t xml:space="preserve">Beta hedge (futures)</t>
  </si>
  <si>
    <t xml:space="preserve">N = (β_target − β_current) × Portfolio value / (Futures price × Lot size)</t>
  </si>
  <si>
    <t xml:space="preserve">Delta–gamma approximation</t>
  </si>
  <si>
    <t xml:space="preserve">ΔC ≈ Δ × ΔS + ½ × Γ × (ΔS)²</t>
  </si>
  <si>
    <t xml:space="preserve">Duration gap</t>
  </si>
  <si>
    <t xml:space="preserve">DGAP = D_A − (L/A) × D_L;   ΔE ≈ −DGAP × A × Δy/(1 + y)</t>
  </si>
  <si>
    <t xml:space="preserve">Duration is the slope (tangent) of the price–yield curve; convexity is its curvature.</t>
  </si>
  <si>
    <t xml:space="preserve">Delta rises from 0 to 1 as the option moves into the money; gamma peaks at-the-money near expiry, where hedges need the most frequent rebalancing.</t>
  </si>
  <si>
    <t xml:space="preserve">Silicon Valley Bank (March 2023)</t>
  </si>
  <si>
    <t xml:space="preserve">SVB invested deposit inflows in long-duration Treasuries and MBS. As the Fed raised rates by ~450 bps, unrealised losses on its securities exceeded its equity. A US$1.8 billion realised loss on sale of AFS securities triggered a deposit run and the bank failed on 10 March 2023 — a textbook duration-gap failure.</t>
  </si>
  <si>
    <t xml:space="preserve">Orange County, California (1994)</t>
  </si>
  <si>
    <t xml:space="preserve">The county investment pool used leveraged reverse repos to buy rate-sensitive notes, effectively running a very high duration. When the Fed raised rates through 1994, losses of about US$1.7 billion forced the county into bankruptcy.</t>
  </si>
  <si>
    <t xml:space="preserve">Indian banks’ MTM losses (2017–18)</t>
  </si>
  <si>
    <t xml:space="preserve">When the 10-year G-sec yield rose by roughly 100 bps between mid-2017 and early 2018, banks faced heavy mark-to-market losses on their bond books; the RBI permitted banks to spread these losses over four quarters. Banks subsequently tightened PV01 and duration limits.</t>
  </si>
  <si>
    <t xml:space="preserve">Index options market-making in India</t>
  </si>
  <si>
    <t xml:space="preserve">NSE is among the world’s largest derivatives exchanges by contracts traded, dominated by index options. Market makers manage net delta and gamma intraday; on expiry days gamma near the strike is extreme, which is why SEBI’s 2024 measures on index derivatives targeted expiry-day risk.</t>
  </si>
  <si>
    <t xml:space="preserve">•  Using modified duration for bonds with embedded options — use effective duration instead.</t>
  </si>
  <si>
    <t xml:space="preserve">•  Ignoring convexity for large shocks such as the ±200 bps IRRBB scenarios.</t>
  </si>
  <si>
    <t xml:space="preserve">•  Confusing the sign of DV01 for long vs short positions when netting a hedge.</t>
  </si>
  <si>
    <t xml:space="preserve">•  Assuming a delta hedge is permanent — delta changes with price (gamma) and time (charm).</t>
  </si>
  <si>
    <t xml:space="preserve">•  Using beta estimated from a short or unrepresentative window when sizing hedges.</t>
  </si>
  <si>
    <t xml:space="preserve">Q1. Why does a zero-coupon bond have the highest duration for a given maturity?</t>
  </si>
  <si>
    <t xml:space="preserve">Q2. What is negative convexity?</t>
  </si>
  <si>
    <t xml:space="preserve">Q3. How do you make a portfolio delta- and gamma-neutral?</t>
  </si>
  <si>
    <t xml:space="preserve">Q4. Explain PV01 vs modified duration.</t>
  </si>
  <si>
    <t xml:space="preserve">Q5. What caused SVB’s failure from a risk perspective?</t>
  </si>
  <si>
    <t xml:space="preserve">Case 2.1  |  Duration of a Corporate Bond</t>
  </si>
  <si>
    <t xml:space="preserve">Macaulay &amp; modified duration</t>
  </si>
  <si>
    <t xml:space="preserve">An AAA-rated NBFC has issued a 5-year bond with a 7.50% annual coupon, face value ₹100. The current yield to maturity is 8.00%. A debt fund manager wants to understand the bond’s rate sensitivity before buying ₹25 crore of face value.</t>
  </si>
  <si>
    <t xml:space="preserve">(a)  Compute the bond price.</t>
  </si>
  <si>
    <t xml:space="preserve">(b)  Compute Macaulay and modified duration.</t>
  </si>
  <si>
    <t xml:space="preserve">(c)  Estimate the % price change for a +50 bps yield rise using modified duration, and compare it with the actual change from full repricing.</t>
  </si>
  <si>
    <t xml:space="preserve">(d)  Estimate the rupee loss on ₹25 crore face value for a +50 bps move.</t>
  </si>
  <si>
    <t xml:space="preserve">Annual coupon rate</t>
  </si>
  <si>
    <t xml:space="preserve">Yield to maturity</t>
  </si>
  <si>
    <t xml:space="preserve">Maturity (years)</t>
  </si>
  <si>
    <t xml:space="preserve">Face value (₹)</t>
  </si>
  <si>
    <t xml:space="preserve">Yield shock</t>
  </si>
  <si>
    <t xml:space="preserve">Face value purchased (₹ crore)</t>
  </si>
  <si>
    <t xml:space="preserve">Year (t)</t>
  </si>
  <si>
    <t xml:space="preserve">Cash flow</t>
  </si>
  <si>
    <t xml:space="preserve">Discount factor</t>
  </si>
  <si>
    <t xml:space="preserve">PV</t>
  </si>
  <si>
    <t xml:space="preserve">t × PV</t>
  </si>
  <si>
    <t xml:space="preserve">Bond price (₹)</t>
  </si>
  <si>
    <t xml:space="preserve">Macaulay duration (years)</t>
  </si>
  <si>
    <t xml:space="preserve">Estimated % price change (duration)</t>
  </si>
  <si>
    <t xml:space="preserve">Price after shock — full repricing (₹)</t>
  </si>
  <si>
    <t xml:space="preserve">Actual % price change</t>
  </si>
  <si>
    <t xml:space="preserve">Market value of holding (₹ crore)</t>
  </si>
  <si>
    <t xml:space="preserve">Estimated loss for the shock (₹ crore)</t>
  </si>
  <si>
    <t xml:space="preserve">Case 2.2  |  Convexity Adjustment for Large Rate Shocks</t>
  </si>
  <si>
    <t xml:space="preserve">Convexity | IRRBB shocks | Graph</t>
  </si>
  <si>
    <t xml:space="preserve">A bank’s ALM desk holds a 10-year 7.20% annual-coupon G-sec trading at par (YTM 7.20%). For IRRBB reporting it must estimate price changes under ±100 bps and ±200 bps parallel shocks.</t>
  </si>
  <si>
    <t xml:space="preserve">(a)  Compute Macaulay duration, modified duration and convexity.</t>
  </si>
  <si>
    <t xml:space="preserve">(b)  For shocks of −200, −100, +100 and +200 bps, estimate % price change using (a) duration only and (b) duration + convexity.</t>
  </si>
  <si>
    <t xml:space="preserve">(c)  Compare with the actual % change from full repricing.</t>
  </si>
  <si>
    <t xml:space="preserve">(d)  Graph task: plot the three estimates for each shock as a clustered bar chart and comment.</t>
  </si>
  <si>
    <t xml:space="preserve">t(t+1) × PV</t>
  </si>
  <si>
    <t xml:space="preserve">Convexity</t>
  </si>
  <si>
    <t xml:space="preserve">Duration only</t>
  </si>
  <si>
    <t xml:space="preserve">Duration + convexity</t>
  </si>
  <si>
    <t xml:space="preserve">Actual (repricing)</t>
  </si>
  <si>
    <t xml:space="preserve">New price (₹)</t>
  </si>
  <si>
    <t xml:space="preserve">Insert your Excel chart in this area: clustered column chart of the three estimates for each yield shock.</t>
  </si>
  <si>
    <t xml:space="preserve">Case 2.3  |  PV01 Hedging with Interest Rate Futures</t>
  </si>
  <si>
    <t xml:space="preserve">PV01 / DV01 | Hedge ratio</t>
  </si>
  <si>
    <t xml:space="preserve">A bank holds ₹500 crore (market value) of G-secs with a modified duration of 5.2. The treasurer expects RBI to pause rate cuts and wants to neutralise rate risk for the next month using exchange-traded interest rate futures. The DV01 of one futures contract is ₹130 (assumed for this case).</t>
  </si>
  <si>
    <t xml:space="preserve">(a)  Compute the portfolio DV01.</t>
  </si>
  <si>
    <t xml:space="preserve">(b)  Compute the number of futures contracts to sell for a full hedge.</t>
  </si>
  <si>
    <t xml:space="preserve">(c)  Estimate the unhedged loss if yields rise by 25 bps and the net result after hedging.</t>
  </si>
  <si>
    <t xml:space="preserve">(d)  List two residual risks that remain after the hedge.</t>
  </si>
  <si>
    <t xml:space="preserve">DV01 per futures contract (₹)</t>
  </si>
  <si>
    <t xml:space="preserve">Assumed for this case</t>
  </si>
  <si>
    <t xml:space="preserve">Yield rise (bps)</t>
  </si>
  <si>
    <t xml:space="preserve">Portfolio DV01 (₹ per bp)</t>
  </si>
  <si>
    <t xml:space="preserve">Futures contracts to sell</t>
  </si>
  <si>
    <t xml:space="preserve">Unhedged loss (₹ crore)</t>
  </si>
  <si>
    <t xml:space="preserve">Gain on short futures (₹ crore)</t>
  </si>
  <si>
    <t xml:space="preserve">Net hedged P&amp;L (₹ crore)</t>
  </si>
  <si>
    <t xml:space="preserve">Case 2.4  |  Beta Hedging an Equity Portfolio with Nifty Futures</t>
  </si>
  <si>
    <t xml:space="preserve">Beta | Index futures | Tactical de-risking</t>
  </si>
  <si>
    <t xml:space="preserve">A PMS manager runs a ₹25 crore equity portfolio with a beta of 1.25 to the Nifty 50. Ahead of the Union Budget and a US Fed decision, the manager wants to reduce market exposure without selling stocks. Nifty futures trade at 24,500 with a lot size of 75 (assumed).</t>
  </si>
  <si>
    <t xml:space="preserve">(a)  Compute the value of one futures contract.</t>
  </si>
  <si>
    <t xml:space="preserve">(b)  How many contracts must be sold to make the portfolio beta zero?</t>
  </si>
  <si>
    <t xml:space="preserve">(c)  How many contracts to reduce beta to 0.60?</t>
  </si>
  <si>
    <t xml:space="preserve">(d)  If Nifty falls 8%, compute the portfolio loss unhedged and the futures gain on the full hedge.</t>
  </si>
  <si>
    <t xml:space="preserve">Portfolio beta</t>
  </si>
  <si>
    <t xml:space="preserve">Nifty futures price</t>
  </si>
  <si>
    <t xml:space="preserve">Lot size</t>
  </si>
  <si>
    <t xml:space="preserve">Assumed</t>
  </si>
  <si>
    <t xml:space="preserve">Target beta</t>
  </si>
  <si>
    <t xml:space="preserve">Nifty fall (scenario)</t>
  </si>
  <si>
    <t xml:space="preserve">Value of one contract (₹)</t>
  </si>
  <si>
    <t xml:space="preserve">Contracts to sell for beta = 0</t>
  </si>
  <si>
    <t xml:space="preserve">Rounded</t>
  </si>
  <si>
    <t xml:space="preserve">Contracts to sell for target beta</t>
  </si>
  <si>
    <t xml:space="preserve">Gain on full hedge (₹ crore)</t>
  </si>
  <si>
    <t xml:space="preserve">Net P&amp;L (₹ crore)</t>
  </si>
  <si>
    <t xml:space="preserve">Case 2.5  |  Option Greeks using Black–Scholes</t>
  </si>
  <si>
    <t xml:space="preserve">Delta | Gamma | Vega | Theta</t>
  </si>
  <si>
    <t xml:space="preserve">A derivatives desk has written at-the-money 3-month call options on a large-cap stock. Spot = ₹1,500, strike = ₹1,500, risk-free rate = 6.50% (continuous), volatility = 25%, time to expiry = 0.25 years. The desk head wants the Greeks to set hedges.</t>
  </si>
  <si>
    <t xml:space="preserve">(a)  Compute d₁, d₂, N(d₁), N(d₂) and the call price.</t>
  </si>
  <si>
    <t xml:space="preserve">(b)  Compute delta, gamma, vega (per 1% vol) and theta (per day).</t>
  </si>
  <si>
    <t xml:space="preserve">(c)  Estimate the change in call price for a ₹30 rise in the stock using (a) delta only and (b) delta + gamma. Compare with the actual Black–Scholes reprice.</t>
  </si>
  <si>
    <t xml:space="preserve">(d)  Why is gamma most dangerous for a short-option position close to expiry?</t>
  </si>
  <si>
    <t xml:space="preserve">Spot price (₹)</t>
  </si>
  <si>
    <t xml:space="preserve">Strike price (₹)</t>
  </si>
  <si>
    <t xml:space="preserve">Risk-free rate (continuous)</t>
  </si>
  <si>
    <t xml:space="preserve">Volatility (σ)</t>
  </si>
  <si>
    <t xml:space="preserve">Time to expiry (years)</t>
  </si>
  <si>
    <t xml:space="preserve">Price move tested (₹)</t>
  </si>
  <si>
    <t xml:space="preserve">d₁</t>
  </si>
  <si>
    <t xml:space="preserve">d₂</t>
  </si>
  <si>
    <t xml:space="preserve">N(d₁)</t>
  </si>
  <si>
    <t xml:space="preserve">N(d₂)</t>
  </si>
  <si>
    <t xml:space="preserve">Call price (₹)</t>
  </si>
  <si>
    <t xml:space="preserve">Delta</t>
  </si>
  <si>
    <t xml:space="preserve">Gamma</t>
  </si>
  <si>
    <t xml:space="preserve">Vega (₹ per 1% vol)</t>
  </si>
  <si>
    <t xml:space="preserve">Theta (₹ per day)</t>
  </si>
  <si>
    <t xml:space="preserve">Delta-only estimate of Δcall (₹)</t>
  </si>
  <si>
    <t xml:space="preserve">Delta + gamma estimate (₹)</t>
  </si>
  <si>
    <t xml:space="preserve">d₁ at new spot</t>
  </si>
  <si>
    <t xml:space="preserve">Call price at new spot (₹)</t>
  </si>
  <si>
    <t xml:space="preserve">Actual Δcall (₹)</t>
  </si>
  <si>
    <t xml:space="preserve">Case 2.6  |  Delta–Gamma Neutral Hedging of an Options Book</t>
  </si>
  <si>
    <t xml:space="preserve">Delta hedging | Gamma hedging</t>
  </si>
  <si>
    <t xml:space="preserve">A dealer is short 50,000 call options (Option A) with delta 0.55 and gamma 0.0021 each. A second traded option (Option B) on the same stock has delta 0.40 and gamma 0.0030. The dealer wants a hedge that survives larger moves.</t>
  </si>
  <si>
    <t xml:space="preserve">(a)  How many shares are needed for a delta-only hedge?</t>
  </si>
  <si>
    <t xml:space="preserve">(b)  How many Option B contracts make the book gamma-neutral?</t>
  </si>
  <si>
    <t xml:space="preserve">(c)  After the gamma hedge, how many shares make the book delta-neutral as well?</t>
  </si>
  <si>
    <t xml:space="preserve">(d)  Why must the gamma hedge be done first?</t>
  </si>
  <si>
    <t xml:space="preserve">Option A sold (number)</t>
  </si>
  <si>
    <t xml:space="preserve">Delta of Option A</t>
  </si>
  <si>
    <t xml:space="preserve">Gamma of Option A</t>
  </si>
  <si>
    <t xml:space="preserve">Delta of Option B</t>
  </si>
  <si>
    <t xml:space="preserve">Gamma of Option B</t>
  </si>
  <si>
    <t xml:space="preserve">Shares to buy — delta-only hedge</t>
  </si>
  <si>
    <t xml:space="preserve">Option B to buy — gamma neutral</t>
  </si>
  <si>
    <t xml:space="preserve">Net delta after Option B</t>
  </si>
  <si>
    <t xml:space="preserve">Shares to buy for delta neutrality</t>
  </si>
  <si>
    <t xml:space="preserve">Check: net gamma</t>
  </si>
  <si>
    <t xml:space="preserve">Check: net delta</t>
  </si>
  <si>
    <t xml:space="preserve">Case 2.7  |  Duration Gap Analysis — An SVB-Style Stress</t>
  </si>
  <si>
    <t xml:space="preserve">ALM | Duration gap | Economic value of equity</t>
  </si>
  <si>
    <t xml:space="preserve">A mid-sized bank has total assets of ₹10,000 crore (duration 4.5 years, largely fixed-rate bonds and home loans) and liabilities of ₹9,200 crore (duration 1.2 years, mostly term deposits and CASA). Equity is ₹800 crore and the average yield is 7%. The Board asks what a 200 bps rise in rates would do to the economic value of equity.</t>
  </si>
  <si>
    <t xml:space="preserve">(a)  Compute the duration gap.</t>
  </si>
  <si>
    <t xml:space="preserve">(b)  Estimate the change in the economic value of equity for +200 bps.</t>
  </si>
  <si>
    <t xml:space="preserve">(c)  Express it as a % of equity and comment.</t>
  </si>
  <si>
    <t xml:space="preserve">(d)  What asset duration would immunise equity? Suggest two practical actions.</t>
  </si>
  <si>
    <t xml:space="preserve">Total assets (₹ crore)</t>
  </si>
  <si>
    <t xml:space="preserve">Asset duration (years)</t>
  </si>
  <si>
    <t xml:space="preserve">Total liabilities (₹ crore)</t>
  </si>
  <si>
    <t xml:space="preserve">Liability duration (years)</t>
  </si>
  <si>
    <t xml:space="preserve">Average yield</t>
  </si>
  <si>
    <t xml:space="preserve">Rate shock</t>
  </si>
  <si>
    <t xml:space="preserve">Equity (₹ crore)</t>
  </si>
  <si>
    <t xml:space="preserve">Duration gap (years)</t>
  </si>
  <si>
    <t xml:space="preserve">Change in economic value of equity (₹ crore)</t>
  </si>
  <si>
    <t xml:space="preserve">As % of equity</t>
  </si>
  <si>
    <t xml:space="preserve">Immunising asset duration (years)</t>
  </si>
  <si>
    <t xml:space="preserve">Case 2.8  |  Effective Duration and Negative Convexity of a Callable Bond</t>
  </si>
  <si>
    <t xml:space="preserve">Effective duration | Embedded options</t>
  </si>
  <si>
    <t xml:space="preserve">A callable corporate bond currently trades at ₹100.80. A pricing model (OAS) shows the price would be ₹102.10 if yields fell 50 bps and ₹99.30 if yields rose 50 bps. The issuer can call the bond at ₹102.</t>
  </si>
  <si>
    <t xml:space="preserve">(a)  Compute effective duration.</t>
  </si>
  <si>
    <t xml:space="preserve">(b)  Compute effective convexity and interpret its sign.</t>
  </si>
  <si>
    <t xml:space="preserve">(c)  Estimate the % price change for a +100 bps shock.</t>
  </si>
  <si>
    <t xml:space="preserve">(d)  Why is modified duration inappropriate for this bond?</t>
  </si>
  <si>
    <t xml:space="preserve">Current price (₹)</t>
  </si>
  <si>
    <t xml:space="preserve">Price if yield −50 bps (₹)</t>
  </si>
  <si>
    <t xml:space="preserve">Price if yield +50 bps (₹)</t>
  </si>
  <si>
    <t xml:space="preserve">Yield change used</t>
  </si>
  <si>
    <t xml:space="preserve">Shock to estimate</t>
  </si>
  <si>
    <t xml:space="preserve">Effective duration</t>
  </si>
  <si>
    <t xml:space="preserve">Effective convexity</t>
  </si>
  <si>
    <t xml:space="preserve">Estimated % change for the shock</t>
  </si>
  <si>
    <t xml:space="preserve">Convexity sign</t>
  </si>
  <si>
    <t xml:space="preserve">Module 3  |  Risk-Adjusted Return on Capital (RAROC) — Concept Note</t>
  </si>
  <si>
    <t xml:space="preserve">RAROC measures the return a business, product or customer earns on the economic capital it consumes. It adjusts profit for expected loss (the average cost of risk) and divides by economic capital (the buffer against unexpected loss). A loan that looks highly profitable on yield may destroy value once its credit risk and capital consumption are recognised.</t>
  </si>
  <si>
    <t xml:space="preserve">•  Puts businesses with very different risk profiles — retail loans, corporate lending, treasury, fee businesses — on one comparable scale.</t>
  </si>
  <si>
    <t xml:space="preserve">•  Drives risk-based pricing: the minimum rate a bank should charge to meet shareholder expectations.</t>
  </si>
  <si>
    <t xml:space="preserve">•  Links risk management to value creation: Economic Value Added (EVA) = (RAROC − hurdle) × capital.</t>
  </si>
  <si>
    <t xml:space="preserve">•  Supports ICAAP, capital budgeting across divisions and performance-linked compensation.</t>
  </si>
  <si>
    <t xml:space="preserve">•  Loan pricing — relationship managers use a RAROC calculator before sanctioning; deals below hurdle need higher pricing, collateral or fee cross-sell.</t>
  </si>
  <si>
    <t xml:space="preserve">•  Capital allocation — the Board allocates economic capital to business lines that earn above-hurdle RAROC.</t>
  </si>
  <si>
    <t xml:space="preserve">•  Performance measurement — business heads are measured on risk-adjusted profit rather than volumes.</t>
  </si>
  <si>
    <t xml:space="preserve">•  Portfolio strategy — exit or re-price segments where RAROC is persistently below the cost of equity.</t>
  </si>
  <si>
    <t xml:space="preserve">RAROC</t>
  </si>
  <si>
    <t xml:space="preserve">RAROC = (Revenue − Funding cost − Operating cost − Expected loss ± Other) × (1 − tax) / Economic Capital</t>
  </si>
  <si>
    <t xml:space="preserve">Expected loss</t>
  </si>
  <si>
    <t xml:space="preserve">EL = PD × LGD × EAD</t>
  </si>
  <si>
    <t xml:space="preserve">Economic capital (credit)</t>
  </si>
  <si>
    <t xml:space="preserve">EC = Credit VaR at 99.9% − EL  (= Unexpected loss)</t>
  </si>
  <si>
    <t xml:space="preserve">Value creation</t>
  </si>
  <si>
    <t xml:space="preserve">EVA (SVA) = (RAROC − Hurdle rate) × Economic Capital</t>
  </si>
  <si>
    <t xml:space="preserve">Decision rule</t>
  </si>
  <si>
    <t xml:space="preserve">Accept if RAROC ≥ Hurdle (cost of equity)</t>
  </si>
  <si>
    <t xml:space="preserve">Break-even loan rate</t>
  </si>
  <si>
    <t xml:space="preserve">Rate = [Hurdle × EC/(1 − t) + Funding + Op. cost + EL] / Exposure</t>
  </si>
  <si>
    <t xml:space="preserve">Expected loss is a cost of doing business (priced and provisioned); economic capital covers the unexpected loss up to the chosen confidence level.</t>
  </si>
  <si>
    <t xml:space="preserve">Bankers Trust — origin of RAROC (late 1970s)</t>
  </si>
  <si>
    <t xml:space="preserve">Under Charles Sanford, Bankers Trust developed RAROC to compare businesses with different risk levels and allocate capital accordingly. The framework became the template for economic-capital systems at global banks.</t>
  </si>
  <si>
    <t xml:space="preserve">Indian banks — Basel III and ICAAP</t>
  </si>
  <si>
    <t xml:space="preserve">RBI requires a minimum total capital ratio of 9% plus a 2.5% capital conservation buffer (11.5%) and an Internal Capital Adequacy Assessment Process. Large banks complement regulatory capital with economic-capital and RAROC models for pricing and allocation.</t>
  </si>
  <si>
    <t xml:space="preserve">The low-rate corporate loan dilemma</t>
  </si>
  <si>
    <t xml:space="preserve">Highly rated corporates borrow at thin spreads, often close to the cost of funds. On ROA they look unattractive, yet their low PD and capital consumption can deliver above-hurdle RAROC — especially with cash-management, FX and trade-finance cross-sell.</t>
  </si>
  <si>
    <t xml:space="preserve">Unsecured retail and MSME lending</t>
  </si>
  <si>
    <t xml:space="preserve">Personal loans and unsecured MSME credit carry high yields but also high EL and capital. RBI’s November 2023 increase in risk weights on consumer credit raised capital consumption and pushed banks to re-price these products — a direct RAROC effect.</t>
  </si>
  <si>
    <t xml:space="preserve">•  Deducting unexpected loss in the numerator — UL is covered by capital, only EL is a cost.</t>
  </si>
  <si>
    <t xml:space="preserve">•  Comparing pre-tax RAROC with a post-tax hurdle (or vice versa).</t>
  </si>
  <si>
    <t xml:space="preserve">•  Ignoring the return earned on allocated capital, or double-counting it alongside full funding cost.</t>
  </si>
  <si>
    <t xml:space="preserve">•  Allocating stand-alone capital without diversification — penalises every business and distorts rankings.</t>
  </si>
  <si>
    <t xml:space="preserve">•  Using RAROC alone: high RAROC on a tiny capital base may add little absolute value — look at EVA too.</t>
  </si>
  <si>
    <t xml:space="preserve">Q1. Why is expected loss deducted but unexpected loss used as the denominator?</t>
  </si>
  <si>
    <t xml:space="preserve">Q2. What is the difference between RAROC and RORAC?</t>
  </si>
  <si>
    <t xml:space="preserve">Q3. How do you set the hurdle rate?</t>
  </si>
  <si>
    <t xml:space="preserve">Q4. Can a loan with RAROC below hurdle still be approved?</t>
  </si>
  <si>
    <t xml:space="preserve">Q5. How does collateral affect RAROC?</t>
  </si>
  <si>
    <t xml:space="preserve">Case 3.1  |  RAROC of a Corporate Term Loan</t>
  </si>
  <si>
    <t xml:space="preserve">Basic RAROC | Accept / reject</t>
  </si>
  <si>
    <t xml:space="preserve">Vindhya Bank is evaluating a ₹100 crore term loan to a BBB-rated auto-component manufacturer at 9.80%. Assume tax at 25% and a post-tax hurdle rate (cost of equity) of 15% unless stated otherwise. The debt-funded portion of a loan = exposure − economic capital.</t>
  </si>
  <si>
    <t xml:space="preserve">(a)  Compute expected loss.</t>
  </si>
  <si>
    <t xml:space="preserve">(b)  Compute pre-tax and post-tax risk-adjusted profit.</t>
  </si>
  <si>
    <t xml:space="preserve">(c)  Compute RAROC and EVA.</t>
  </si>
  <si>
    <t xml:space="preserve">(d)  Should the loan be approved?</t>
  </si>
  <si>
    <t xml:space="preserve">Exposure / EAD (₹ crore)</t>
  </si>
  <si>
    <t xml:space="preserve">Lending rate</t>
  </si>
  <si>
    <t xml:space="preserve">Cost of funds</t>
  </si>
  <si>
    <t xml:space="preserve">Operating cost (% of exposure)</t>
  </si>
  <si>
    <t xml:space="preserve">Probability of default (PD)</t>
  </si>
  <si>
    <t xml:space="preserve">Loss given default (LGD)</t>
  </si>
  <si>
    <t xml:space="preserve">Economic capital (% of exposure)</t>
  </si>
  <si>
    <t xml:space="preserve">Fee income (₹ crore)</t>
  </si>
  <si>
    <t xml:space="preserve">Cost of servicing fee business (₹ crore)</t>
  </si>
  <si>
    <t xml:space="preserve">Additional economic capital (₹ crore)</t>
  </si>
  <si>
    <t xml:space="preserve">Tax rate</t>
  </si>
  <si>
    <t xml:space="preserve">Assumption: same for all columns</t>
  </si>
  <si>
    <t xml:space="preserve">Hurdle rate (post-tax cost of equity)</t>
  </si>
  <si>
    <t xml:space="preserve">Assumption</t>
  </si>
  <si>
    <t xml:space="preserve">₹ crore</t>
  </si>
  <si>
    <t xml:space="preserve">Economic capital on loan</t>
  </si>
  <si>
    <t xml:space="preserve">Revenue (interest + fees)</t>
  </si>
  <si>
    <t xml:space="preserve">Less: funding cost on debt-funded portion</t>
  </si>
  <si>
    <t xml:space="preserve">Less: operating cost</t>
  </si>
  <si>
    <t xml:space="preserve">Less: expected loss (PD × LGD × EAD)</t>
  </si>
  <si>
    <t xml:space="preserve">Risk-adjusted profit before tax</t>
  </si>
  <si>
    <t xml:space="preserve">Less: tax</t>
  </si>
  <si>
    <t xml:space="preserve">Risk-adjusted profit after tax</t>
  </si>
  <si>
    <t xml:space="preserve">Total economic capital</t>
  </si>
  <si>
    <t xml:space="preserve">EVA = (RAROC − hurdle) × capital</t>
  </si>
  <si>
    <t xml:space="preserve">Decision</t>
  </si>
  <si>
    <t xml:space="preserve">Case 3.2  |  Risk-Based Pricing — Minimum Lending Rate</t>
  </si>
  <si>
    <t xml:space="preserve">Break-even pricing | Hurdle</t>
  </si>
  <si>
    <t xml:space="preserve">Using the facts of Case 3.1, the relationship manager has been asked by the client to match a competitor’s offer. The credit committee wants to know the lowest rate at which the loan still meets the hurdle. Assume tax at 25% and a post-tax hurdle rate (cost of equity) of 15% unless stated otherwise. The debt-funded portion of a loan = exposure − economic capital.</t>
  </si>
  <si>
    <t xml:space="preserve">(a)  Compute the required post-tax and pre-tax profit to earn exactly 15% RAROC.</t>
  </si>
  <si>
    <t xml:space="preserve">(b)  Compute the minimum lending rate.</t>
  </si>
  <si>
    <t xml:space="preserve">(c)  Should the bank match the competitor’s 9.40%?</t>
  </si>
  <si>
    <t xml:space="preserve">(d)  Recompute the minimum rate if PD rises to 2.50%.</t>
  </si>
  <si>
    <t xml:space="preserve">Exposure (₹ crore)</t>
  </si>
  <si>
    <t xml:space="preserve">Operating cost</t>
  </si>
  <si>
    <t xml:space="preserve">PD (base)</t>
  </si>
  <si>
    <t xml:space="preserve">PD (stressed)</t>
  </si>
  <si>
    <t xml:space="preserve">LGD</t>
  </si>
  <si>
    <t xml:space="preserve">Hurdle rate</t>
  </si>
  <si>
    <t xml:space="preserve">Competitor's offered rate</t>
  </si>
  <si>
    <t xml:space="preserve">Economic capital (₹ crore)</t>
  </si>
  <si>
    <t xml:space="preserve">Required post-tax profit (₹ crore)</t>
  </si>
  <si>
    <t xml:space="preserve">Required pre-tax profit (₹ crore)</t>
  </si>
  <si>
    <t xml:space="preserve">Funding cost (₹ crore)</t>
  </si>
  <si>
    <t xml:space="preserve">Operating cost (₹ crore)</t>
  </si>
  <si>
    <t xml:space="preserve">Expected loss (₹ crore)</t>
  </si>
  <si>
    <t xml:space="preserve">Required revenue (₹ crore)</t>
  </si>
  <si>
    <t xml:space="preserve">Minimum lending rate</t>
  </si>
  <si>
    <t xml:space="preserve">Shortfall at competitor rate, pre-tax (₹ crore)</t>
  </si>
  <si>
    <t xml:space="preserve">Minimum rate at stressed PD</t>
  </si>
  <si>
    <t xml:space="preserve">Case 3.3  |  Large Corporate vs SME — Which Customer Creates More Value?</t>
  </si>
  <si>
    <t xml:space="preserve">Comparative RAROC | Yield vs risk</t>
  </si>
  <si>
    <t xml:space="preserve">The business head wants to prioritise SME lending because it earns a spread of 5% versus 1.6% on large corporates. Assume tax at 25% and a post-tax hurdle rate (cost of equity) of 15% unless stated otherwise. The debt-funded portion of a loan = exposure − economic capital.</t>
  </si>
  <si>
    <t xml:space="preserve">(a)  Compute RAROC for each customer.</t>
  </si>
  <si>
    <t xml:space="preserve">(b)  Compute EVA for each customer.</t>
  </si>
  <si>
    <t xml:space="preserve">(c)  Is the business head’s view correct? Explain.</t>
  </si>
  <si>
    <t xml:space="preserve">A — AAA corporate</t>
  </si>
  <si>
    <t xml:space="preserve">B — SME</t>
  </si>
  <si>
    <t xml:space="preserve">Case 3.4  |  Economic Capital from a Credit Loss Distribution</t>
  </si>
  <si>
    <t xml:space="preserve">Credit VaR | EL vs UL | Regulatory comparison</t>
  </si>
  <si>
    <t xml:space="preserve">Simulation of Sahyadri Bank’s ₹5,000 crore MSME loan portfolio gives an expected annual loss of ₹60 crore and a 99.9th-percentile loss of ₹420 crore. Portfolio net interest income is ₹240 crore and operating cost ₹90 crore. Risk-weighted assets are 70% of exposure and the regulatory capital requirement is 11.5% of RWA. Assume tax at 25% and a post-tax hurdle rate (cost of equity) of 15% unless stated otherwise. The debt-funded portion of a loan = exposure − economic capital.</t>
  </si>
  <si>
    <t xml:space="preserve">(a)  Compute economic capital.</t>
  </si>
  <si>
    <t xml:space="preserve">(b)  Compute portfolio RAROC and EVA.</t>
  </si>
  <si>
    <t xml:space="preserve">(c)  Compute regulatory capital and the return on regulatory capital.</t>
  </si>
  <si>
    <t xml:space="preserve">(d)  Why can economic and regulatory capital differ?</t>
  </si>
  <si>
    <t xml:space="preserve">Portfolio exposure (₹ crore)</t>
  </si>
  <si>
    <t xml:space="preserve">99.9% loss quantile (₹ crore)</t>
  </si>
  <si>
    <t xml:space="preserve">Net interest income (₹ crore)</t>
  </si>
  <si>
    <t xml:space="preserve">RWA as % of exposure</t>
  </si>
  <si>
    <t xml:space="preserve">Regulatory capital ratio</t>
  </si>
  <si>
    <t xml:space="preserve">Economic capital = UL (₹ crore)</t>
  </si>
  <si>
    <t xml:space="preserve">Risk-adjusted profit pre-tax (₹ crore)</t>
  </si>
  <si>
    <t xml:space="preserve">Risk-adjusted profit post-tax (₹ crore)</t>
  </si>
  <si>
    <t xml:space="preserve">EVA (₹ crore)</t>
  </si>
  <si>
    <t xml:space="preserve">Regulatory capital (₹ crore)</t>
  </si>
  <si>
    <t xml:space="preserve">Return on regulatory capital</t>
  </si>
  <si>
    <t xml:space="preserve">Case 3.5  |  RAROC for Treasury Trading Desks</t>
  </si>
  <si>
    <t xml:space="preserve">Market-risk capital | Desk comparison</t>
  </si>
  <si>
    <t xml:space="preserve">The treasury head must decide which desk receives additional risk limits. For this case, annual economic capital is approximated as the 1-day 99% VaR scaled by √250. Assume tax at 25% and a post-tax hurdle rate (cost of equity) of 15% unless stated otherwise. The debt-funded portion of a loan = exposure − economic capital.</t>
  </si>
  <si>
    <t xml:space="preserve">(a)  Compute economic capital for each desk.</t>
  </si>
  <si>
    <t xml:space="preserve">(b)  Compute RAROC and EVA.</t>
  </si>
  <si>
    <t xml:space="preserve">(c)  Which desk should receive the additional limit?</t>
  </si>
  <si>
    <t xml:space="preserve">Equity desk</t>
  </si>
  <si>
    <t xml:space="preserve">FX desk</t>
  </si>
  <si>
    <t xml:space="preserve">Annual revenue (₹ crore)</t>
  </si>
  <si>
    <t xml:space="preserve">Annual cost (₹ crore)</t>
  </si>
  <si>
    <t xml:space="preserve">Trading days for scaling</t>
  </si>
  <si>
    <t xml:space="preserve">Assumption: EC = VaR × √250</t>
  </si>
  <si>
    <t xml:space="preserve">Economic capital</t>
  </si>
  <si>
    <t xml:space="preserve">Pre-tax profit</t>
  </si>
  <si>
    <t xml:space="preserve">Post-tax profit</t>
  </si>
  <si>
    <t xml:space="preserve">EVA</t>
  </si>
  <si>
    <t xml:space="preserve">Case 3.6  |  Relationship RAROC with Fee Cross-Sell</t>
  </si>
  <si>
    <t xml:space="preserve">Relationship pricing | Fee income</t>
  </si>
  <si>
    <t xml:space="preserve">A ₹150 crore working-capital facility to a large FMCG distributor is priced at 8.90%. The client also offers cash-management (CMS) fees of ₹1.2 crore and FX conversion income of ₹0.8 crore annually, with incremental servicing cost of ₹0.4 crore and additional operational-risk capital of ₹0.5 crore. Assume tax at 25% and a post-tax hurdle rate (cost of equity) of 15% unless stated otherwise. The debt-funded portion of a loan = exposure − economic capital.</t>
  </si>
  <si>
    <t xml:space="preserve">(a)  Compute the standalone loan RAROC.</t>
  </si>
  <si>
    <t xml:space="preserve">(b)  Compute the relationship RAROC including fee income.</t>
  </si>
  <si>
    <t xml:space="preserve">(c)  Recommend a decision.</t>
  </si>
  <si>
    <t xml:space="preserve">Loan only</t>
  </si>
  <si>
    <t xml:space="preserve">Full relationship</t>
  </si>
  <si>
    <t xml:space="preserve">Case 3.7  |  Capital Allocation with Diversification</t>
  </si>
  <si>
    <t xml:space="preserve">Group EC | Diversification | Graph</t>
  </si>
  <si>
    <t xml:space="preserve">A bank’s three business units have stand-alone economic capital totalling ₹1,300 crore, but group-level EC after diversification is only ₹1,000 crore. The CFO proposes allocating the diversification benefit pro-rata to stand-alone capital.</t>
  </si>
  <si>
    <t xml:space="preserve">(a)  Compute stand-alone RAROC for each unit.</t>
  </si>
  <si>
    <t xml:space="preserve">(b)  Allocate group EC pro-rata and compute diversified RAROC.</t>
  </si>
  <si>
    <t xml:space="preserve">(c)  Graph task: plot stand-alone vs diversified RAROC against the 15% hurdle.</t>
  </si>
  <si>
    <t xml:space="preserve">(d)  Which unit’s decision changes, and what allocation method is theoretically better?</t>
  </si>
  <si>
    <t xml:space="preserve">Group economic capital after diversification (₹ crore)</t>
  </si>
  <si>
    <t xml:space="preserve">Business unit</t>
  </si>
  <si>
    <t xml:space="preserve">Stand-alone EC (₹ cr)</t>
  </si>
  <si>
    <t xml:space="preserve">Post-tax profit (₹ cr)</t>
  </si>
  <si>
    <t xml:space="preserve">Retail Banking</t>
  </si>
  <si>
    <t xml:space="preserve">Corporate Banking</t>
  </si>
  <si>
    <t xml:space="preserve">Treasury</t>
  </si>
  <si>
    <t xml:space="preserve">Sum of stand-alone EC (₹ crore)</t>
  </si>
  <si>
    <t xml:space="preserve">Allocation factor</t>
  </si>
  <si>
    <t xml:space="preserve">Group RAROC</t>
  </si>
  <si>
    <t xml:space="preserve">RAROC stand-alone</t>
  </si>
  <si>
    <t xml:space="preserve">Allocated EC (₹ cr)</t>
  </si>
  <si>
    <t xml:space="preserve">RAROC diversified</t>
  </si>
  <si>
    <t xml:space="preserve">Hurdle</t>
  </si>
  <si>
    <t xml:space="preserve">Decision change?</t>
  </si>
  <si>
    <t xml:space="preserve">Insert your Excel chart in this area: clustered column chart of stand-alone vs diversified RAROC with the 15% hurdle.</t>
  </si>
  <si>
    <t xml:space="preserve">Case 3.8  |  Impact of Collateral on RAROC</t>
  </si>
  <si>
    <t xml:space="preserve">LGD | Credit risk mitigation</t>
  </si>
  <si>
    <t xml:space="preserve">A ₹80 crore loan to a hotel chain can be structured unsecured at 11.00% or secured by property at 10.40%. Security reduces LGD and capital but adds valuation, legal and monitoring cost. Cost of funds is 7.00%. Assume tax at 25% and a post-tax hurdle rate (cost of equity) of 15% unless stated otherwise. The debt-funded portion of a loan = exposure − economic capital.</t>
  </si>
  <si>
    <t xml:space="preserve">(a)  Compute RAROC and EVA for both structures.</t>
  </si>
  <si>
    <t xml:space="preserve">(b)  Which structure should the bank prefer and why?</t>
  </si>
  <si>
    <t xml:space="preserve">(c)  Identify two risks that could erode the collateral benefit.</t>
  </si>
  <si>
    <t xml:space="preserve">Unsecured</t>
  </si>
  <si>
    <t xml:space="preserve">Secured</t>
  </si>
  <si>
    <t xml:space="preserve">Module 4  |  Regression &amp; Variance Analysis — Concept Note</t>
  </si>
  <si>
    <t xml:space="preserve">Regression analysis estimates the relationship between a dependent variable (Y) and one or more explanatory variables (X). Ordinary Least Squares (OLS) fits the line that minimises the sum of squared residuals. Variance analysis measures and decomposes dispersion — how much a return, cost or portfolio value varies, and which sources drive that variation. Together they answer: How sensitive is Y to X? How much of the risk is explained? What remains unexplained?</t>
  </si>
  <si>
    <t xml:space="preserve">•  Beta, hedge ratios, factor exposures and stress-test models are all regression outputs.</t>
  </si>
  <si>
    <t xml:space="preserve">•  Variance (σ²) is the core input to VaR, portfolio optimisation and risk budgeting.</t>
  </si>
  <si>
    <t xml:space="preserve">•  R² and the ANOVA decomposition show how much risk is systematic (hedgeable) versus idiosyncratic (diversifiable).</t>
  </si>
  <si>
    <t xml:space="preserve">•  Cost-behaviour regression supports flexible budgets and budget-vs-actual variance analysis in FP&amp;A.</t>
  </si>
  <si>
    <t xml:space="preserve">•  Equity research and fund management — beta estimation, factor models (Fama–French), performance attribution.</t>
  </si>
  <si>
    <t xml:space="preserve">•  Banks’ risk and stress testing — regressing NPAs on GDP growth and interest rates; the RBI’s Financial Stability Report uses macro-stress-test models of this type.</t>
  </si>
  <si>
    <t xml:space="preserve">•  Corporate treasury and commodities — minimum-variance hedge ratios for fuel, metals and currencies.</t>
  </si>
  <si>
    <t xml:space="preserve">•  FP&amp;A and cost accounting — separating fixed and variable costs, building flexible budgets and explaining variances.</t>
  </si>
  <si>
    <t xml:space="preserve">Simple regression slope</t>
  </si>
  <si>
    <t xml:space="preserve">β = Cov(X, Y) / Var(X)       α = Ȳ − β·X̄</t>
  </si>
  <si>
    <t xml:space="preserve">Coefficient of determination</t>
  </si>
  <si>
    <t xml:space="preserve">R² = SSR/SST = 1 − SSE/SST   (simple regression: R² = ρ²)</t>
  </si>
  <si>
    <t xml:space="preserve">Adjusted R²</t>
  </si>
  <si>
    <t xml:space="preserve">R̄² = 1 − (1 − R²)(n − 1)/(n − k − 1)</t>
  </si>
  <si>
    <t xml:space="preserve">F-statistic</t>
  </si>
  <si>
    <t xml:space="preserve">F = (SSR/k) / (SSE/(n − k − 1))</t>
  </si>
  <si>
    <t xml:space="preserve">Sample variance</t>
  </si>
  <si>
    <t xml:space="preserve">s² = Σ(xᵢ − x̄)² / (n − 1)    Annualised σ = σ_monthly × √12</t>
  </si>
  <si>
    <t xml:space="preserve">Portfolio variance</t>
  </si>
  <si>
    <t xml:space="preserve">σₚ² = wᵀ Σ w = Σᵢ Σⱼ wᵢ wⱼ σᵢ σⱼ ρᵢⱼ</t>
  </si>
  <si>
    <t xml:space="preserve">Variance decomposition</t>
  </si>
  <si>
    <t xml:space="preserve">σᵢ² = βᵢ² σₘ² + σ²(ε)</t>
  </si>
  <si>
    <t xml:space="preserve">Minimum-variance hedge ratio</t>
  </si>
  <si>
    <t xml:space="preserve">h* = ρ × σ_S / σ_F;   hedge effectiveness = ρ²</t>
  </si>
  <si>
    <t xml:space="preserve">OLS picks the line that minimises the sum of squared vertical distances (residuals); the residual variance is the unexplained risk.</t>
  </si>
  <si>
    <t xml:space="preserve">CAPM beta and cost of equity</t>
  </si>
  <si>
    <t xml:space="preserve">Analysts regress a stock’s returns on Nifty 50 or Sensex returns (typically 2–5 years of weekly or monthly data) to estimate beta, which feeds the cost of equity in DCF valuations and the hurdle rate in RAROC.</t>
  </si>
  <si>
    <t xml:space="preserve">Airline fuel hedging</t>
  </si>
  <si>
    <t xml:space="preserve">Jet fuel has no deep futures market in most regions, so airlines cross-hedge with crude oil futures sized by the minimum-variance hedge ratio. Southwest Airlines’ systematic fuel-hedging programme is widely cited for saving it billions of dollars during the 2000s oil price spike.</t>
  </si>
  <si>
    <t xml:space="preserve">Macro stress testing of bank NPAs</t>
  </si>
  <si>
    <t xml:space="preserve">Regulators and banks estimate regressions of gross NPA ratios on GDP growth, interest rates and credit growth, then feed in baseline, medium and severe macro scenarios — the approach behind the stress-test projections in the RBI’s Financial Stability Report.</t>
  </si>
  <si>
    <t xml:space="preserve">Markowitz portfolio theory and risk budgeting</t>
  </si>
  <si>
    <t xml:space="preserve">Harry Markowitz (1952) showed that portfolio variance depends on covariances, not just individual variances. Pension funds and multi-asset funds today run risk-budgeting frameworks that decompose total variance into each asset’s contribution.</t>
  </si>
  <si>
    <t xml:space="preserve">•  Confusing correlation with causation; spurious regressions on trending (non-stationary) series such as price levels instead of returns.</t>
  </si>
  <si>
    <t xml:space="preserve">•  Using population variance (÷n) where sample variance (÷n−1) is required.</t>
  </si>
  <si>
    <t xml:space="preserve">•  Judging a model only by R²; a high R² with insignificant coefficients often signals multicollinearity.</t>
  </si>
  <si>
    <t xml:space="preserve">•  Extrapolating far outside the observed range of X.</t>
  </si>
  <si>
    <t xml:space="preserve">•  Ignoring heteroskedasticity and autocorrelation, which make t-statistics unreliable (use robust/Newey–West SEs).</t>
  </si>
  <si>
    <t xml:space="preserve">Q1. What is the relationship between beta, correlation and volatility?</t>
  </si>
  <si>
    <t xml:space="preserve">Q2. What does an R² of 0.30 for a stock-on-index regression mean?</t>
  </si>
  <si>
    <t xml:space="preserve">Q3. Why use adjusted R²?</t>
  </si>
  <si>
    <t xml:space="preserve">Q4. What is multicollinearity and how do you detect it?</t>
  </si>
  <si>
    <t xml:space="preserve">Q5. How is the minimum-variance hedge ratio derived?</t>
  </si>
  <si>
    <t xml:space="preserve">Case 4.1  |  Estimating Stock Beta by OLS Regression</t>
  </si>
  <si>
    <t xml:space="preserve">Simple regression | Beta | R² | Graph</t>
  </si>
  <si>
    <t xml:space="preserve">An equity research analyst covering a listed capital-goods company must estimate its beta for a DCF valuation. Monthly returns for the stock and the Nifty 50 for the last 12 months are given below. (Data are illustrative; in practice use 36–60 months.)</t>
  </si>
  <si>
    <t xml:space="preserve">(a)  Compute mean returns, the covariance of the stock with Nifty and the variance of Nifty (sample).</t>
  </si>
  <si>
    <t xml:space="preserve">(b)  Estimate beta and alpha. Verify with Excel’s SLOPE, INTERCEPT and RSQ.</t>
  </si>
  <si>
    <t xml:space="preserve">(c)  Compute R² and interpret it.</t>
  </si>
  <si>
    <t xml:space="preserve">(d)  Graph task: draw a scatter plot with the fitted regression line (characteristic line).</t>
  </si>
  <si>
    <t xml:space="preserve">(e)  Predict the stock’s return in a month when Nifty falls 5%.</t>
  </si>
  <si>
    <t xml:space="preserve">Month</t>
  </si>
  <si>
    <t xml:space="preserve">Nifty return (%)</t>
  </si>
  <si>
    <t xml:space="preserve">Stock return (%)</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</si>
  <si>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</si>
  <si>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</si>
  <si>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</si>
  <si>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</si>
  <si>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</si>
  <si>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</si>
  <si>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</si>
  <si>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</si>
  <si>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</si>
  <si>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</si>
  <si>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</si>
  <si>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</si>
  <si>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Nifty return scenario for prediction (%)</t>
  </si>
  <si>
    <t xml:space="preserve">Mean Nifty return (%)</t>
  </si>
  <si>
    <t xml:space="preserve">Mean stock return (%)</t>
  </si>
  <si>
    <t xml:space="preserve">Covariance (sample)</t>
  </si>
  <si>
    <t xml:space="preserve">Variance of Nifty (sample)</t>
  </si>
  <si>
    <t xml:space="preserve">Beta = Cov / Var</t>
  </si>
  <si>
    <t xml:space="preserve">Check: SLOPE()</t>
  </si>
  <si>
    <t xml:space="preserve">Alpha (% per month)</t>
  </si>
  <si>
    <t xml:space="preserve">Check: INTERCEPT()</t>
  </si>
  <si>
    <t xml:space="preserve">R²</t>
  </si>
  <si>
    <t xml:space="preserve">Correlation</t>
  </si>
  <si>
    <t xml:space="preserve">Predicted stock return for scenario (%)</t>
  </si>
  <si>
    <t xml:space="preserve">Insert your Excel chart in this area: scatter plot of stock vs Nifty returns with a linear trendline (display equation and R²).</t>
  </si>
  <si>
    <t xml:space="preserve">Case 4.2  |  Interpreting a Multiple Regression — NPA Stress Model</t>
  </si>
  <si>
    <t xml:space="preserve">Multiple regression | t-test | Forecasting</t>
  </si>
  <si>
    <t xml:space="preserve">The risk team of a public sector bank regressed its quarterly gross NPA ratio (%) on three macro variables using 40 quarters of data. The output is below. The CRO must present a baseline and a stress forecast to the Board.</t>
  </si>
  <si>
    <t xml:space="preserve">(a)  Compute the t-statistic for each coefficient and identify which are significant at 5% (t-critical ≈ 2.03 for 36 df).</t>
  </si>
  <si>
    <t xml:space="preserve">(b)  Compute adjusted R² and the F-statistic.</t>
  </si>
  <si>
    <t xml:space="preserve">(c)  Interpret the GDP-growth and repo-rate coefficients in business terms.</t>
  </si>
  <si>
    <t xml:space="preserve">(d)  Forecast the GNPA ratio for a baseline (GDP 6.5%, repo 6.0%, credit growth 14%) and a stress scenario (GDP 3.0%, repo 7.0%, credit growth 14%).</t>
  </si>
  <si>
    <t xml:space="preserve">(e)  Should the credit-growth variable be retained? Discuss.</t>
  </si>
  <si>
    <t xml:space="preserve">Variable</t>
  </si>
  <si>
    <t xml:space="preserve">Coefficient</t>
  </si>
  <si>
    <t xml:space="preserve">Std. error</t>
  </si>
  <si>
    <t xml:space="preserve">Intercept</t>
  </si>
  <si>
    <t xml:space="preserve">Real GDP growth (%)</t>
  </si>
  <si>
    <t xml:space="preserve">Repo rate (%)</t>
  </si>
  <si>
    <t xml:space="preserve">Credit growth, lagged 4Q (%)</t>
  </si>
  <si>
    <t xml:space="preserve">Observations (n)</t>
  </si>
  <si>
    <t xml:space="preserve">Explanatory variables (k)</t>
  </si>
  <si>
    <t xml:space="preserve">Significance level</t>
  </si>
  <si>
    <t xml:space="preserve">Scenario inputs</t>
  </si>
  <si>
    <t xml:space="preserve">Baseline</t>
  </si>
  <si>
    <t xml:space="preserve">Stress</t>
  </si>
  <si>
    <t xml:space="preserve">Credit growth, lagged (%)</t>
  </si>
  <si>
    <t xml:space="preserve">Residual degrees of freedom</t>
  </si>
  <si>
    <t xml:space="preserve">t-critical (two-tailed)</t>
  </si>
  <si>
    <t xml:space="preserve">t-statistic</t>
  </si>
  <si>
    <t xml:space="preserve">p-value</t>
  </si>
  <si>
    <t xml:space="preserve">Significant?</t>
  </si>
  <si>
    <t xml:space="preserve">p-value of F</t>
  </si>
  <si>
    <t xml:space="preserve">Forecast</t>
  </si>
  <si>
    <t xml:space="preserve">Forecast GNPA ratio (%)</t>
  </si>
  <si>
    <t xml:space="preserve">Case 4.3  |  Minimum-Variance Hedge Ratio for an Airline</t>
  </si>
  <si>
    <t xml:space="preserve">Cross-hedging | Hedge ratio | Effectiveness</t>
  </si>
  <si>
    <t xml:space="preserve">An Indian airline expects to purchase jet fuel equivalent to 2 million barrels over the next quarter. It will cross-hedge using Brent crude futures (contract size 1,000 barrels). A regression of monthly jet-fuel price changes on Brent futures price changes gives the statistics below.</t>
  </si>
  <si>
    <t xml:space="preserve">(a)  Compute the minimum-variance hedge ratio.</t>
  </si>
  <si>
    <t xml:space="preserve">(b)  Compute the number of futures contracts to buy.</t>
  </si>
  <si>
    <t xml:space="preserve">(c)  Compute hedge effectiveness and the residual risk (σ) of the hedged position.</t>
  </si>
  <si>
    <t xml:space="preserve">(d)  Compare with a naïve 1:1 hedge.</t>
  </si>
  <si>
    <t xml:space="preserve">σ of jet-fuel price changes</t>
  </si>
  <si>
    <t xml:space="preserve">σ of Brent futures price changes</t>
  </si>
  <si>
    <t xml:space="preserve">Exposure (barrels)</t>
  </si>
  <si>
    <t xml:space="preserve">Contract size (barrels)</t>
  </si>
  <si>
    <t xml:space="preserve">Futures contracts to buy</t>
  </si>
  <si>
    <t xml:space="preserve">Hedge effectiveness (ρ²)</t>
  </si>
  <si>
    <t xml:space="preserve">Residual σ — optimal hedge</t>
  </si>
  <si>
    <t xml:space="preserve">Contracts — naïve 1:1 hedge</t>
  </si>
  <si>
    <t xml:space="preserve">Residual σ — naïve hedge</t>
  </si>
  <si>
    <t xml:space="preserve">Case 4.4  |  Portfolio Variance and Risk Contribution</t>
  </si>
  <si>
    <t xml:space="preserve">Covariance matrix | Risk budgeting</t>
  </si>
  <si>
    <t xml:space="preserve">A wealth manager’s model portfolio is 50% equity, 30% debt and 20% gold. Annual volatilities and correlations are given. The client assumes equity is “half the risk” because it is half the money.</t>
  </si>
  <si>
    <t xml:space="preserve">(a)  Build the covariance matrix.</t>
  </si>
  <si>
    <t xml:space="preserve">(b)  Compute portfolio variance and standard deviation (use MMULT in Excel).</t>
  </si>
  <si>
    <t xml:space="preserve">(c)  Compute each asset’s contribution to portfolio risk (% of total).</t>
  </si>
  <si>
    <t xml:space="preserve">(d)  Is the client’s assumption correct?</t>
  </si>
  <si>
    <t xml:space="preserve">Asset</t>
  </si>
  <si>
    <t xml:space="preserve">Weight</t>
  </si>
  <si>
    <t xml:space="preserve">Annual σ</t>
  </si>
  <si>
    <t xml:space="preserve">ρ Equity</t>
  </si>
  <si>
    <t xml:space="preserve">ρ Debt</t>
  </si>
  <si>
    <t xml:space="preserve">ρ Gold</t>
  </si>
  <si>
    <t xml:space="preserve">Equity</t>
  </si>
  <si>
    <t xml:space="preserve">Debt</t>
  </si>
  <si>
    <t xml:space="preserve">Gold</t>
  </si>
  <si>
    <t xml:space="preserve">Covariance matrix</t>
  </si>
  <si>
    <t xml:space="preserve">(Σw)ᵢ</t>
  </si>
  <si>
    <t xml:space="preserve">Weights (transposed helper row)</t>
  </si>
  <si>
    <t xml:space="preserve">Portfolio variance (wᵀΣw)</t>
  </si>
  <si>
    <t xml:space="preserve">Portfolio σ</t>
  </si>
  <si>
    <t xml:space="preserve">Weighted-average σ (no diversification)</t>
  </si>
  <si>
    <t xml:space="preserve">Marginal contribution</t>
  </si>
  <si>
    <t xml:space="preserve">Risk contribution</t>
  </si>
  <si>
    <t xml:space="preserve">% of portfolio risk</t>
  </si>
  <si>
    <t xml:space="preserve">Case 4.5  |  Systematic vs Idiosyncratic Variance</t>
  </si>
  <si>
    <t xml:space="preserve">Variance decomposition | Diversification | Graph</t>
  </si>
  <si>
    <t xml:space="preserve">The Nifty 50 has an annual volatility of 15%. Stock X has beta 1.30 and total volatility 28%. A diversified large-cap fund has beta 0.95 and total volatility 15.2%.</t>
  </si>
  <si>
    <t xml:space="preserve">(a)  Decompose total variance of Stock X and the fund into systematic and idiosyncratic components.</t>
  </si>
  <si>
    <t xml:space="preserve">(b)  Compute the share of systematic variance (equivalent to R² of the market model).</t>
  </si>
  <si>
    <t xml:space="preserve">(c)  Graph task: show the decomposition as a stacked bar chart.</t>
  </si>
  <si>
    <t xml:space="preserve">(d)  Which component is rewarded by the market under CAPM and why?</t>
  </si>
  <si>
    <t xml:space="preserve">Stock X</t>
  </si>
  <si>
    <t xml:space="preserve">Diversified fund</t>
  </si>
  <si>
    <t xml:space="preserve">Market (Nifty 50) annual σ</t>
  </si>
  <si>
    <t xml:space="preserve">Beta</t>
  </si>
  <si>
    <t xml:space="preserve">Total annual σ</t>
  </si>
  <si>
    <t xml:space="preserve">Total variance</t>
  </si>
  <si>
    <t xml:space="preserve">Systematic variance (β²σₘ²)</t>
  </si>
  <si>
    <t xml:space="preserve">Idiosyncratic variance</t>
  </si>
  <si>
    <t xml:space="preserve">Idiosyncratic σ</t>
  </si>
  <si>
    <t xml:space="preserve">Systematic share (= R²)</t>
  </si>
  <si>
    <t xml:space="preserve">Idiosyncratic share</t>
  </si>
  <si>
    <t xml:space="preserve">Insert your Excel chart in this area: 100% stacked bar chart of systematic vs idiosyncratic shares for both.</t>
  </si>
  <si>
    <t xml:space="preserve">Case 4.6  |  Variance, Volatility and Risk-Adjusted Performance of Two Funds</t>
  </si>
  <si>
    <t xml:space="preserve">Sample variance | Annualisation | Sharpe ratio</t>
  </si>
  <si>
    <t xml:space="preserve">A distributor must recommend one of two equity funds to a conservative client. Monthly returns for the last 12 months are given. The annual risk-free rate is 6.5%.</t>
  </si>
  <si>
    <t xml:space="preserve">(a)  Compute the mean monthly return, sample variance and standard deviation of each fund (VAR.S / STDEV.S).</t>
  </si>
  <si>
    <t xml:space="preserve">(b)  Annualise return (×12) and volatility (×√12).</t>
  </si>
  <si>
    <t xml:space="preserve">(c)  Compute the Sharpe ratio and coefficient of variation.</t>
  </si>
  <si>
    <t xml:space="preserve">(d)  Which fund suits the client? Justify.</t>
  </si>
  <si>
    <t xml:space="preserve">Fund A (%)</t>
  </si>
  <si>
    <t xml:space="preserve">Fund B (%)</t>
  </si>
  <si>
    <t xml:space="preserve">Annual risk-free rate (%)</t>
  </si>
  <si>
    <t xml:space="preserve">Months per year</t>
  </si>
  <si>
    <t xml:space="preserve">Fund A</t>
  </si>
  <si>
    <t xml:space="preserve">Fund B</t>
  </si>
  <si>
    <t xml:space="preserve">Mean monthly return (%)</t>
  </si>
  <si>
    <t xml:space="preserve">Monthly σ (%)</t>
  </si>
  <si>
    <t xml:space="preserve">Annualised return (%)</t>
  </si>
  <si>
    <t xml:space="preserve">Annualised σ (%)</t>
  </si>
  <si>
    <t xml:space="preserve">Sharpe ratio</t>
  </si>
  <si>
    <t xml:space="preserve">Coefficient of variation</t>
  </si>
  <si>
    <t xml:space="preserve">Case 4.7  |  Regression-Based Flexible Budget and Cost Variance Analysis</t>
  </si>
  <si>
    <t xml:space="preserve">Cost behaviour | Flexible budget | FP&amp;A | Graph</t>
  </si>
  <si>
    <t xml:space="preserve">The FP&amp;A team of a manufacturing plant uses regression to separate the fixed and variable elements of power cost. Eight months of data are below. For Month 9, the budget assumed 17,000 machine hours; actual activity was 19,000 hours and actual power cost was ₹13.90 lakh.</t>
  </si>
  <si>
    <t xml:space="preserve">(a)  Estimate the cost function (fixed cost + variable cost per '000 hours) and R².</t>
  </si>
  <si>
    <t xml:space="preserve">(b)  Graph task: plot the data with the fitted cost line and mark the Month 9 actual.</t>
  </si>
  <si>
    <t xml:space="preserve">(c)  Compute the static budget cost, flexible budget cost and actual cost for Month 9.</t>
  </si>
  <si>
    <t xml:space="preserve">(d)  Compute the volume variance and spending variance, and label each Favourable/Adverse.</t>
  </si>
  <si>
    <t xml:space="preserve">(e)  What should management investigate?</t>
  </si>
  <si>
    <t xml:space="preserve">Machine hours ('000)</t>
  </si>
  <si>
    <t xml:space="preserve">Power cost (₹ lakh)</t>
  </si>
  <si>
    <t xml:space="preserve">Budgeted activity, Month 9 ('000 hrs)</t>
  </si>
  <si>
    <t xml:space="preserve">Actual activity, Month 9 ('000 hrs)</t>
  </si>
  <si>
    <t xml:space="preserve">Actual power cost, Month 9 (₹ lakh)</t>
  </si>
  <si>
    <t xml:space="preserve">Rupees per lakh</t>
  </si>
  <si>
    <t xml:space="preserve">Variable cost per '000 hours (₹ lakh)</t>
  </si>
  <si>
    <t xml:space="preserve">Fixed cost per month (₹ lakh)</t>
  </si>
  <si>
    <t xml:space="preserve">Variable cost per machine hour (₹)</t>
  </si>
  <si>
    <t xml:space="preserve">Static budget cost (₹ lakh)</t>
  </si>
  <si>
    <t xml:space="preserve">Flexible budget cost (₹ lakh)</t>
  </si>
  <si>
    <t xml:space="preserve">Volume variance (₹ lakh)</t>
  </si>
  <si>
    <t xml:space="preserve">  — label</t>
  </si>
  <si>
    <t xml:space="preserve">Spending variance (₹ lakh)</t>
  </si>
  <si>
    <t xml:space="preserve">Total variance (₹ lakh)</t>
  </si>
  <si>
    <t xml:space="preserve">Insert your Excel chart in this area: scatter plot of power cost vs machine hours with a linear trendline; mark the Month 9 actual.</t>
  </si>
  <si>
    <t xml:space="preserve">Case 4.8  |  ANOVA Table and Goodness of Fit</t>
  </si>
  <si>
    <t xml:space="preserve">ANOVA | F-test | Adjusted R²</t>
  </si>
  <si>
    <t xml:space="preserve">A credit analyst built a regression explaining a corporate bond spread (bps) using leverage and interest coverage for 60 issuers. The software output was partially lost; only the totals below survived.</t>
  </si>
  <si>
    <t xml:space="preserve">(a)  Reconstruct the full ANOVA table (SS, df, MS, F).</t>
  </si>
  <si>
    <t xml:space="preserve">(b)  Compute R², adjusted R² and the standard error of the regression.</t>
  </si>
  <si>
    <t xml:space="preserve">(c)  Test the overall significance of the model at 5% (F-critical ≈ 3.16).</t>
  </si>
  <si>
    <t xml:space="preserve">(d)  List three diagnostic checks before using the model for pricing.</t>
  </si>
  <si>
    <t xml:space="preserve">Observations</t>
  </si>
  <si>
    <t xml:space="preserve">Explanatory variables</t>
  </si>
  <si>
    <t xml:space="preserve">Total sum of squares</t>
  </si>
  <si>
    <t xml:space="preserve">Regression sum of squares</t>
  </si>
  <si>
    <t xml:space="preserve">Residual sum of squares</t>
  </si>
  <si>
    <t xml:space="preserve">df — regression</t>
  </si>
  <si>
    <t xml:space="preserve">df — residual</t>
  </si>
  <si>
    <t xml:space="preserve">df — total</t>
  </si>
  <si>
    <t xml:space="preserve">Mean square regression</t>
  </si>
  <si>
    <t xml:space="preserve">Mean square error</t>
  </si>
  <si>
    <t xml:space="preserve">F-critical</t>
  </si>
  <si>
    <t xml:space="preserve">Standard error of regression</t>
  </si>
  <si>
    <t xml:space="preserve">Conclusion</t>
  </si>
  <si>
    <t xml:space="preserve">Appendix — Formula Sheet &amp; Excel Functions</t>
  </si>
  <si>
    <t xml:space="preserve">STANDARD NORMAL CRITICAL VALUES (ONE-TAILED)</t>
  </si>
  <si>
    <t xml:space="preserve">Confidence</t>
  </si>
  <si>
    <t xml:space="preserve">z-value (formula)</t>
  </si>
  <si>
    <t xml:space="preserve">MODULE 1: VALUE AT RISK (VAR)</t>
  </si>
  <si>
    <t xml:space="preserve">MODULE 2: SENSITIVITY MEASURES</t>
  </si>
  <si>
    <t xml:space="preserve">MODULE 3: RISK-ADJUSTED RETURN ON CAPITAL (RAROC)</t>
  </si>
  <si>
    <t xml:space="preserve">MODULE 4: REGRESSION &amp; VARIANCE ANALYSIS</t>
  </si>
  <si>
    <t xml:space="preserve">EXCEL FUNCTIONS USED</t>
  </si>
  <si>
    <t xml:space="preserve">Function</t>
  </si>
  <si>
    <t xml:space="preserve">Purpose</t>
  </si>
  <si>
    <t xml:space="preserve">Example</t>
  </si>
  <si>
    <t xml:space="preserve">NORM.S.INV(p)</t>
  </si>
  <si>
    <t xml:space="preserve">z-value for a confidence level</t>
  </si>
  <si>
    <t xml:space="preserve">e.g. =NORM.S.INV(0.99) → 2.326</t>
  </si>
  <si>
    <t xml:space="preserve">NORM.S.DIST(z, TRUE/FALSE)</t>
  </si>
  <si>
    <t xml:space="preserve">N(d) in Black–Scholes / φ(z) for ES</t>
  </si>
  <si>
    <t xml:space="preserve">e.g. =NORM.S.DIST(1.96,FALSE)</t>
  </si>
  <si>
    <t xml:space="preserve">SMALL / PERCENTILE.EXC</t>
  </si>
  <si>
    <t xml:space="preserve">Historical VaR</t>
  </si>
  <si>
    <t xml:space="preserve">e.g. =-SMALL(Returns,5)</t>
  </si>
  <si>
    <t xml:space="preserve">BINOM.DIST</t>
  </si>
  <si>
    <t xml:space="preserve">Backtesting probability</t>
  </si>
  <si>
    <t xml:space="preserve">e.g. =1-BINOM.DIST(7,250,0.01,TRUE)</t>
  </si>
  <si>
    <t xml:space="preserve">PV / DURATION / MDURATION</t>
  </si>
  <si>
    <t xml:space="preserve">Bond price and duration</t>
  </si>
  <si>
    <t xml:space="preserve">e.g. =-PV(8%,5,7.5,100)</t>
  </si>
  <si>
    <t xml:space="preserve">SLOPE / INTERCEPT / RSQ / CORREL</t>
  </si>
  <si>
    <t xml:space="preserve">Simple regression</t>
  </si>
  <si>
    <t xml:space="preserve">e.g. =SLOPE(Stock,Nifty)</t>
  </si>
  <si>
    <t xml:space="preserve">LINEST</t>
  </si>
  <si>
    <t xml:space="preserve">Full regression statistics</t>
  </si>
  <si>
    <t xml:space="preserve">e.g. =LINEST(Y,X,TRUE,TRUE)</t>
  </si>
  <si>
    <t xml:space="preserve">T.DIST.2T / T.INV.2T / F.DIST.RT / F.INV.RT</t>
  </si>
  <si>
    <t xml:space="preserve">Significance tests</t>
  </si>
  <si>
    <t xml:space="preserve">e.g. =T.DIST.2T(4.43,36)</t>
  </si>
  <si>
    <t xml:space="preserve">VAR.S / STDEV.S / COVARIANCE.S</t>
  </si>
  <si>
    <t xml:space="preserve">Sample variance, σ, covariance</t>
  </si>
  <si>
    <t xml:space="preserve">e.g. =STDEV.S(Returns)*SQRT(12)</t>
  </si>
  <si>
    <t xml:space="preserve">SUMPRODUCT / MMULT</t>
  </si>
  <si>
    <t xml:space="preserve">e.g. =SUMPRODUCT(w, Σw)</t>
  </si>
</sst>
</file>

<file path=xl/styles.xml><?xml version="1.0" encoding="utf-8"?>
<styleSheet xmlns="http://schemas.openxmlformats.org/spreadsheetml/2006/main">
  <numFmts count="16">
    <numFmt numFmtId="164" formatCode="General"/>
    <numFmt numFmtId="165" formatCode="#,##0.00;\(#,##0.00\);\-"/>
    <numFmt numFmtId="166" formatCode="0.00%;\(0.00%\);\-"/>
    <numFmt numFmtId="167" formatCode="0.0000"/>
    <numFmt numFmtId="168" formatCode="#,##0;\(#,##0\);\-"/>
    <numFmt numFmtId="169" formatCode="#,##0.0000;\(#,##0.0000\);\-"/>
    <numFmt numFmtId="170" formatCode="@"/>
    <numFmt numFmtId="171" formatCode="0.0%;\(0.0%\);\-"/>
    <numFmt numFmtId="172" formatCode="0.0000;\(0.0000\);\-"/>
    <numFmt numFmtId="173" formatCode="\+0.00%;\-0.00%"/>
    <numFmt numFmtId="174" formatCode="\₹#,##0;&quot;(₹&quot;#,##0\);\-"/>
    <numFmt numFmtId="175" formatCode="0.00000"/>
    <numFmt numFmtId="176" formatCode="0.000%"/>
    <numFmt numFmtId="177" formatCode="0.00E+00"/>
    <numFmt numFmtId="178" formatCode="0.000000"/>
    <numFmt numFmtId="179" formatCode="0.0%"/>
  </numFmts>
  <fonts count="23">
    <font>
      <sz val="11"/>
      <color theme="1"/>
      <name val="Calibri"/>
      <family val="2"/>
      <charset val="1"/>
    </font>
    <font>
      <sz val="10"/>
      <name val="Arial"/>
      <family val="0"/>
    </font>
    <font>
      <sz val="10"/>
      <name val="Arial"/>
      <family val="0"/>
    </font>
    <font>
      <sz val="10"/>
      <name val="Arial"/>
      <family val="0"/>
    </font>
    <font>
      <b val="true"/>
      <sz val="12"/>
      <color rgb="FF1A7F8E"/>
      <name val="Arial"/>
      <family val="0"/>
      <charset val="1"/>
    </font>
    <font>
      <b val="true"/>
      <sz val="18"/>
      <color rgb="FF1F3864"/>
      <name val="Arial"/>
      <family val="0"/>
      <charset val="1"/>
    </font>
    <font>
      <sz val="11"/>
      <color rgb="FF595959"/>
      <name val="Arial"/>
      <family val="0"/>
      <charset val="1"/>
    </font>
    <font>
      <b val="true"/>
      <sz val="12"/>
      <color rgb="FFFFFFFF"/>
      <name val="Arial"/>
      <family val="0"/>
      <charset val="1"/>
    </font>
    <font>
      <i val="true"/>
      <sz val="9"/>
      <color rgb="FF595959"/>
      <name val="Arial"/>
      <family val="0"/>
      <charset val="1"/>
    </font>
    <font>
      <b val="true"/>
      <sz val="10"/>
      <color rgb="FF1A7F8E"/>
      <name val="Arial"/>
      <family val="0"/>
      <charset val="1"/>
    </font>
    <font>
      <sz val="10"/>
      <color rgb="FF0000FF"/>
      <name val="Arial"/>
      <family val="0"/>
      <charset val="1"/>
    </font>
    <font>
      <sz val="9"/>
      <color rgb="FF000000"/>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u val="single"/>
      <sz val="10"/>
      <color rgb="FF0563C1"/>
      <name val="Arial"/>
      <family val="0"/>
      <charset val="1"/>
    </font>
    <font>
      <b val="true"/>
      <sz val="14"/>
      <color rgb="FF1F3864"/>
      <name val="Arial"/>
      <family val="0"/>
      <charset val="1"/>
    </font>
    <font>
      <sz val="9"/>
      <color rgb="FF0563C1"/>
      <name val="Arial"/>
      <family val="0"/>
      <charset val="1"/>
    </font>
    <font>
      <sz val="10"/>
      <color rgb="FF1F3864"/>
      <name val="Arial"/>
      <family val="0"/>
      <charset val="1"/>
    </font>
    <font>
      <i val="true"/>
      <sz val="10"/>
      <color rgb="FF595959"/>
      <name val="Arial"/>
      <family val="0"/>
      <charset val="1"/>
    </font>
    <font>
      <b val="true"/>
      <sz val="10"/>
      <color rgb="FF1F3864"/>
      <name val="Arial"/>
      <family val="0"/>
      <charset val="1"/>
    </font>
    <font>
      <i val="true"/>
      <sz val="9"/>
      <color rgb="FF1A7F8E"/>
      <name val="Arial"/>
      <family val="0"/>
      <charset val="1"/>
    </font>
    <font>
      <b val="true"/>
      <sz val="10"/>
      <color rgb="FFC9A227"/>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AF1F8"/>
        <bgColor rgb="FFF3F6FA"/>
      </patternFill>
    </fill>
    <fill>
      <patternFill patternType="solid">
        <fgColor rgb="FFFFFF00"/>
        <bgColor rgb="FFFFFF00"/>
      </patternFill>
    </fill>
    <fill>
      <patternFill patternType="solid">
        <fgColor rgb="FFF3F6FA"/>
        <bgColor rgb="FFF5F8FC"/>
      </patternFill>
    </fill>
    <fill>
      <patternFill patternType="solid">
        <fgColor rgb="FFF5F8FC"/>
        <bgColor rgb="FFF3F6FA"/>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medium">
        <color rgb="FF1A7F8E"/>
      </bottom>
      <diagonal/>
    </border>
    <border diagonalUp="false" diagonalDown="false">
      <left style="thin">
        <color rgb="FFBFBFBF"/>
      </left>
      <right/>
      <top style="thin">
        <color rgb="FFBFBFBF"/>
      </top>
      <bottom style="thin">
        <color rgb="FFBFBFBF"/>
      </bottom>
      <diagonal/>
    </border>
    <border diagonalUp="false" diagonalDown="false">
      <left/>
      <right/>
      <top/>
      <bottom style="medium">
        <color rgb="FF1F3864"/>
      </bottom>
      <diagonal/>
    </border>
    <border diagonalUp="false" diagonalDown="false">
      <left/>
      <right/>
      <top/>
      <bottom style="medium">
        <color rgb="FFC9A22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8" fillId="0" borderId="3"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right" vertical="center" textRotation="0" wrapText="false" indent="0" shrinkToFit="false"/>
      <protection locked="true" hidden="false"/>
    </xf>
    <xf numFmtId="166" fontId="10" fillId="3" borderId="1" xfId="0" applyFont="true" applyBorder="true" applyAlignment="true" applyProtection="false">
      <alignment horizontal="right" vertical="center" textRotation="0" wrapText="false" indent="0" shrinkToFit="false"/>
      <protection locked="true" hidden="false"/>
    </xf>
    <xf numFmtId="167" fontId="10" fillId="3" borderId="1" xfId="0" applyFont="true" applyBorder="true" applyAlignment="true" applyProtection="false">
      <alignment horizontal="right" vertical="center" textRotation="0" wrapText="false" indent="0" shrinkToFit="false"/>
      <protection locked="true" hidden="false"/>
    </xf>
    <xf numFmtId="168" fontId="10" fillId="3" borderId="1" xfId="0" applyFont="true" applyBorder="true" applyAlignment="true" applyProtection="false">
      <alignment horizontal="right" vertical="center" textRotation="0" wrapText="false" indent="0" shrinkToFit="false"/>
      <protection locked="true" hidden="false"/>
    </xf>
    <xf numFmtId="164" fontId="20" fillId="0" borderId="4"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9" fontId="12" fillId="4"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22" fillId="0" borderId="5"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70" fontId="12" fillId="4" borderId="1" xfId="0" applyFont="true" applyBorder="true" applyAlignment="false" applyProtection="false">
      <alignment horizontal="general" vertical="bottom" textRotation="0" wrapText="false" indent="0" shrinkToFit="false"/>
      <protection locked="true" hidden="false"/>
    </xf>
    <xf numFmtId="171" fontId="10" fillId="3" borderId="1" xfId="0" applyFont="true" applyBorder="true" applyAlignment="true" applyProtection="false">
      <alignment horizontal="right" vertical="center" textRotation="0" wrapText="false" indent="0" shrinkToFit="false"/>
      <protection locked="true" hidden="false"/>
    </xf>
    <xf numFmtId="172" fontId="12" fillId="4" borderId="1" xfId="0" applyFont="true" applyBorder="true" applyAlignment="false" applyProtection="false">
      <alignment horizontal="general" vertical="bottom" textRotation="0" wrapText="false" indent="0" shrinkToFit="false"/>
      <protection locked="true" hidden="false"/>
    </xf>
    <xf numFmtId="173" fontId="10" fillId="3" borderId="1" xfId="0" applyFont="true" applyBorder="true" applyAlignment="true" applyProtection="false">
      <alignment horizontal="left" vertical="center" textRotation="0" wrapText="false" indent="0" shrinkToFit="false"/>
      <protection locked="true" hidden="false"/>
    </xf>
    <xf numFmtId="174" fontId="12" fillId="4" borderId="1" xfId="0" applyFont="true" applyBorder="true" applyAlignment="false" applyProtection="false">
      <alignment horizontal="general" vertical="bottom" textRotation="0" wrapText="false" indent="0" shrinkToFit="false"/>
      <protection locked="true" hidden="false"/>
    </xf>
    <xf numFmtId="168" fontId="12" fillId="4" borderId="1" xfId="0" applyFont="true" applyBorder="true" applyAlignment="false" applyProtection="false">
      <alignment horizontal="general" vertical="bottom" textRotation="0" wrapText="false" indent="0" shrinkToFit="false"/>
      <protection locked="true" hidden="false"/>
    </xf>
    <xf numFmtId="175" fontId="12" fillId="4" borderId="1" xfId="0" applyFont="true" applyBorder="true" applyAlignment="false" applyProtection="false">
      <alignment horizontal="general" vertical="bottom" textRotation="0" wrapText="false" indent="0" shrinkToFit="false"/>
      <protection locked="true" hidden="false"/>
    </xf>
    <xf numFmtId="172" fontId="10" fillId="3" borderId="1" xfId="0" applyFont="true" applyBorder="true" applyAlignment="true" applyProtection="false">
      <alignment horizontal="right" vertical="center" textRotation="0" wrapText="false" indent="0" shrinkToFit="false"/>
      <protection locked="true" hidden="false"/>
    </xf>
    <xf numFmtId="171" fontId="12" fillId="4" borderId="1" xfId="0" applyFont="true" applyBorder="true" applyAlignment="false" applyProtection="false">
      <alignment horizontal="general" vertical="bottom" textRotation="0" wrapText="false" indent="0" shrinkToFit="false"/>
      <protection locked="true" hidden="false"/>
    </xf>
    <xf numFmtId="176" fontId="12" fillId="4" borderId="1" xfId="0" applyFont="true" applyBorder="true" applyAlignment="false" applyProtection="false">
      <alignment horizontal="general" vertical="bottom" textRotation="0" wrapText="false" indent="0" shrinkToFit="false"/>
      <protection locked="true" hidden="false"/>
    </xf>
    <xf numFmtId="168" fontId="10" fillId="3" borderId="1" xfId="0" applyFont="true" applyBorder="true" applyAlignment="false" applyProtection="false">
      <alignment horizontal="general" vertical="bottom" textRotation="0" wrapText="false" indent="0" shrinkToFit="false"/>
      <protection locked="true" hidden="false"/>
    </xf>
    <xf numFmtId="177" fontId="12" fillId="4" borderId="1" xfId="0" applyFont="true" applyBorder="true" applyAlignment="false" applyProtection="false">
      <alignment horizontal="general" vertical="bottom" textRotation="0" wrapText="false" indent="0" shrinkToFit="false"/>
      <protection locked="tru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78" fontId="12" fillId="4" borderId="1" xfId="0" applyFont="true" applyBorder="true" applyAlignment="false" applyProtection="false">
      <alignment horizontal="general" vertical="bottom" textRotation="0" wrapText="false" indent="0" shrinkToFit="false"/>
      <protection locked="true" hidden="false"/>
    </xf>
    <xf numFmtId="179" fontId="10" fillId="0" borderId="1" xfId="0" applyFont="true" applyBorder="true" applyAlignment="true" applyProtection="false">
      <alignment horizontal="left" vertical="center" textRotation="0" wrapText="false" indent="0" shrinkToFit="false"/>
      <protection locked="true" hidden="false"/>
    </xf>
    <xf numFmtId="167" fontId="12" fillId="0" borderId="1"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F8E"/>
      <rgbColor rgb="FFBFBFBF"/>
      <rgbColor rgb="FF808080"/>
      <rgbColor rgb="FF9999FF"/>
      <rgbColor rgb="FF993366"/>
      <rgbColor rgb="FFF5F8FC"/>
      <rgbColor rgb="FFEAF1F8"/>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3F6FA"/>
      <rgbColor rgb="FFCCFFCC"/>
      <rgbColor rgb="FFFFFF99"/>
      <rgbColor rgb="FF99CCFF"/>
      <rgbColor rgb="FFFF99CC"/>
      <rgbColor rgb="FFCC99FF"/>
      <rgbColor rgb="FFFFCC99"/>
      <rgbColor rgb="FF3366FF"/>
      <rgbColor rgb="FF33CCCC"/>
      <rgbColor rgb="FF99CC00"/>
      <rgbColor rgb="FFFFCC00"/>
      <rgbColor rgb="FFC9A227"/>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3.xml.rels><?xml version="1.0" encoding="UTF-8"?>
<Relationships xmlns="http://schemas.openxmlformats.org/package/2006/relationships"><Relationship Id="rId1" Type="http://schemas.openxmlformats.org/officeDocument/2006/relationships/image" Target="../media/image5.png"/>
</Relationships>
</file>

<file path=xl/drawings/_rels/drawing4.xml.rels><?xml version="1.0" encoding="UTF-8"?>
<Relationships xmlns="http://schemas.openxmlformats.org/package/2006/relationships"><Relationship Id="rId1"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160560</xdr:rowOff>
    </xdr:from>
    <xdr:to>
      <xdr:col>4</xdr:col>
      <xdr:colOff>929520</xdr:colOff>
      <xdr:row>43</xdr:row>
      <xdr:rowOff>65160</xdr:rowOff>
    </xdr:to>
    <xdr:pic>
      <xdr:nvPicPr>
        <xdr:cNvPr id="0" name="Image 1" descr="Picture"/>
        <xdr:cNvPicPr/>
      </xdr:nvPicPr>
      <xdr:blipFill>
        <a:blip r:embed="rId1"/>
        <a:stretch/>
      </xdr:blipFill>
      <xdr:spPr>
        <a:xfrm>
          <a:off x="141120" y="6877080"/>
          <a:ext cx="6286320" cy="2952360"/>
        </a:xfrm>
        <a:prstGeom prst="rect">
          <a:avLst/>
        </a:prstGeom>
        <a:ln w="0">
          <a:noFill/>
        </a:ln>
      </xdr:spPr>
    </xdr:pic>
    <xdr:clientData/>
  </xdr:twoCellAnchor>
  <xdr:twoCellAnchor editAs="oneCell">
    <xdr:from>
      <xdr:col>1</xdr:col>
      <xdr:colOff>0</xdr:colOff>
      <xdr:row>45</xdr:row>
      <xdr:rowOff>179640</xdr:rowOff>
    </xdr:from>
    <xdr:to>
      <xdr:col>4</xdr:col>
      <xdr:colOff>929520</xdr:colOff>
      <xdr:row>61</xdr:row>
      <xdr:rowOff>65160</xdr:rowOff>
    </xdr:to>
    <xdr:pic>
      <xdr:nvPicPr>
        <xdr:cNvPr id="1" name="Image 2" descr="Picture"/>
        <xdr:cNvPicPr/>
      </xdr:nvPicPr>
      <xdr:blipFill>
        <a:blip r:embed="rId2"/>
        <a:stretch/>
      </xdr:blipFill>
      <xdr:spPr>
        <a:xfrm>
          <a:off x="141120" y="10325160"/>
          <a:ext cx="6286320" cy="2952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160560</xdr:rowOff>
    </xdr:from>
    <xdr:to>
      <xdr:col>4</xdr:col>
      <xdr:colOff>929520</xdr:colOff>
      <xdr:row>44</xdr:row>
      <xdr:rowOff>65160</xdr:rowOff>
    </xdr:to>
    <xdr:pic>
      <xdr:nvPicPr>
        <xdr:cNvPr id="2" name="Image 1" descr="Picture"/>
        <xdr:cNvPicPr/>
      </xdr:nvPicPr>
      <xdr:blipFill>
        <a:blip r:embed="rId1"/>
        <a:stretch/>
      </xdr:blipFill>
      <xdr:spPr>
        <a:xfrm>
          <a:off x="141120" y="6381720"/>
          <a:ext cx="6286320" cy="2952360"/>
        </a:xfrm>
        <a:prstGeom prst="rect">
          <a:avLst/>
        </a:prstGeom>
        <a:ln w="0">
          <a:noFill/>
        </a:ln>
      </xdr:spPr>
    </xdr:pic>
    <xdr:clientData/>
  </xdr:twoCellAnchor>
  <xdr:twoCellAnchor editAs="oneCell">
    <xdr:from>
      <xdr:col>1</xdr:col>
      <xdr:colOff>0</xdr:colOff>
      <xdr:row>46</xdr:row>
      <xdr:rowOff>179640</xdr:rowOff>
    </xdr:from>
    <xdr:to>
      <xdr:col>4</xdr:col>
      <xdr:colOff>929520</xdr:colOff>
      <xdr:row>62</xdr:row>
      <xdr:rowOff>65160</xdr:rowOff>
    </xdr:to>
    <xdr:pic>
      <xdr:nvPicPr>
        <xdr:cNvPr id="3" name="Image 2" descr="Picture"/>
        <xdr:cNvPicPr/>
      </xdr:nvPicPr>
      <xdr:blipFill>
        <a:blip r:embed="rId2"/>
        <a:stretch/>
      </xdr:blipFill>
      <xdr:spPr>
        <a:xfrm>
          <a:off x="141120" y="9829800"/>
          <a:ext cx="6286320" cy="29523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160920</xdr:rowOff>
    </xdr:from>
    <xdr:to>
      <xdr:col>4</xdr:col>
      <xdr:colOff>929520</xdr:colOff>
      <xdr:row>42</xdr:row>
      <xdr:rowOff>65160</xdr:rowOff>
    </xdr:to>
    <xdr:pic>
      <xdr:nvPicPr>
        <xdr:cNvPr id="4" name="Image 1" descr="Picture"/>
        <xdr:cNvPicPr/>
      </xdr:nvPicPr>
      <xdr:blipFill>
        <a:blip r:embed="rId1"/>
        <a:stretch/>
      </xdr:blipFill>
      <xdr:spPr>
        <a:xfrm>
          <a:off x="141120" y="6000840"/>
          <a:ext cx="6286320" cy="29523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160560</xdr:rowOff>
    </xdr:from>
    <xdr:to>
      <xdr:col>4</xdr:col>
      <xdr:colOff>929520</xdr:colOff>
      <xdr:row>44</xdr:row>
      <xdr:rowOff>65160</xdr:rowOff>
    </xdr:to>
    <xdr:pic>
      <xdr:nvPicPr>
        <xdr:cNvPr id="5" name="Image 1" descr="Picture"/>
        <xdr:cNvPicPr/>
      </xdr:nvPicPr>
      <xdr:blipFill>
        <a:blip r:embed="rId1"/>
        <a:stretch/>
      </xdr:blipFill>
      <xdr:spPr>
        <a:xfrm>
          <a:off x="141120" y="6381720"/>
          <a:ext cx="6286320" cy="29523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FRM_Case_Workbook_Student_Edition.xlsx" TargetMode="External"/><Relationship Id="rId2" Type="http://schemas.openxmlformats.org/officeDocument/2006/relationships/hyperlink" Target="FRM_Case_Workbook_Student_Edition.xlsx" TargetMode="External"/><Relationship Id="rId3" Type="http://schemas.openxmlformats.org/officeDocument/2006/relationships/hyperlink" Target="FRM_Case_Workbook_Student_Edition.xlsx" TargetMode="External"/><Relationship Id="rId4" Type="http://schemas.openxmlformats.org/officeDocument/2006/relationships/hyperlink" Target="FRM_Case_Workbook_Student_Edition.xlsx" TargetMode="External"/><Relationship Id="rId5" Type="http://schemas.openxmlformats.org/officeDocument/2006/relationships/hyperlink" Target="FRM_Case_Workbook_Student_Edition.xlsx" TargetMode="External"/><Relationship Id="rId6" Type="http://schemas.openxmlformats.org/officeDocument/2006/relationships/hyperlink" Target="FRM_Case_Workbook_Student_Edition.xlsx" TargetMode="External"/><Relationship Id="rId7" Type="http://schemas.openxmlformats.org/officeDocument/2006/relationships/hyperlink" Target="FRM_Case_Workbook_Student_Edition.xlsx" TargetMode="External"/><Relationship Id="rId8" Type="http://schemas.openxmlformats.org/officeDocument/2006/relationships/hyperlink" Target="FRM_Case_Workbook_Student_Edition.xlsx" TargetMode="External"/><Relationship Id="rId9" Type="http://schemas.openxmlformats.org/officeDocument/2006/relationships/hyperlink" Target="FRM_Case_Workbook_Student_Edition.xlsx" TargetMode="External"/><Relationship Id="rId10" Type="http://schemas.openxmlformats.org/officeDocument/2006/relationships/hyperlink" Target="FRM_Case_Workbook_Student_Edition.xlsx" TargetMode="External"/><Relationship Id="rId11" Type="http://schemas.openxmlformats.org/officeDocument/2006/relationships/hyperlink" Target="FRM_Case_Workbook_Student_Edition.xlsx" TargetMode="External"/><Relationship Id="rId12" Type="http://schemas.openxmlformats.org/officeDocument/2006/relationships/hyperlink" Target="FRM_Case_Workbook_Student_Edition.xlsx" TargetMode="External"/><Relationship Id="rId13" Type="http://schemas.openxmlformats.org/officeDocument/2006/relationships/hyperlink" Target="FRM_Case_Workbook_Student_Edition.xlsx" TargetMode="External"/><Relationship Id="rId14" Type="http://schemas.openxmlformats.org/officeDocument/2006/relationships/hyperlink" Target="FRM_Case_Workbook_Student_Edition.xlsx" TargetMode="External"/><Relationship Id="rId15" Type="http://schemas.openxmlformats.org/officeDocument/2006/relationships/hyperlink" Target="FRM_Case_Workbook_Student_Edition.xlsx" TargetMode="External"/><Relationship Id="rId16" Type="http://schemas.openxmlformats.org/officeDocument/2006/relationships/hyperlink" Target="FRM_Case_Workbook_Student_Edition.xlsx" TargetMode="External"/><Relationship Id="rId17" Type="http://schemas.openxmlformats.org/officeDocument/2006/relationships/hyperlink" Target="FRM_Case_Workbook_Student_Edition.xlsx" TargetMode="External"/><Relationship Id="rId18" Type="http://schemas.openxmlformats.org/officeDocument/2006/relationships/hyperlink" Target="FRM_Case_Workbook_Student_Edition.xlsx" TargetMode="External"/><Relationship Id="rId19" Type="http://schemas.openxmlformats.org/officeDocument/2006/relationships/hyperlink" Target="FRM_Case_Workbook_Student_Edition.xlsx" TargetMode="External"/><Relationship Id="rId20" Type="http://schemas.openxmlformats.org/officeDocument/2006/relationships/hyperlink" Target="FRM_Case_Workbook_Student_Edition.xlsx" TargetMode="External"/><Relationship Id="rId21" Type="http://schemas.openxmlformats.org/officeDocument/2006/relationships/hyperlink" Target="FRM_Case_Workbook_Student_Edition.xlsx" TargetMode="External"/><Relationship Id="rId22" Type="http://schemas.openxmlformats.org/officeDocument/2006/relationships/hyperlink" Target="FRM_Case_Workbook_Student_Edition.xlsx" TargetMode="External"/><Relationship Id="rId23" Type="http://schemas.openxmlformats.org/officeDocument/2006/relationships/hyperlink" Target="FRM_Case_Workbook_Student_Edition.xlsx" TargetMode="External"/><Relationship Id="rId24" Type="http://schemas.openxmlformats.org/officeDocument/2006/relationships/hyperlink" Target="FRM_Case_Workbook_Student_Edition.xlsx" TargetMode="External"/><Relationship Id="rId25" Type="http://schemas.openxmlformats.org/officeDocument/2006/relationships/hyperlink" Target="FRM_Case_Workbook_Student_Edition.xlsx" TargetMode="External"/><Relationship Id="rId26" Type="http://schemas.openxmlformats.org/officeDocument/2006/relationships/hyperlink" Target="FRM_Case_Workbook_Student_Edition.xlsx" TargetMode="External"/><Relationship Id="rId27" Type="http://schemas.openxmlformats.org/officeDocument/2006/relationships/hyperlink" Target="FRM_Case_Workbook_Student_Edition.xlsx" TargetMode="External"/><Relationship Id="rId28" Type="http://schemas.openxmlformats.org/officeDocument/2006/relationships/hyperlink" Target="FRM_Case_Workbook_Student_Edition.xlsx" TargetMode="External"/><Relationship Id="rId29" Type="http://schemas.openxmlformats.org/officeDocument/2006/relationships/hyperlink" Target="FRM_Case_Workbook_Student_Edition.xlsx" TargetMode="External"/><Relationship Id="rId30" Type="http://schemas.openxmlformats.org/officeDocument/2006/relationships/hyperlink" Target="FRM_Case_Workbook_Student_Edition.xlsx" TargetMode="External"/><Relationship Id="rId31" Type="http://schemas.openxmlformats.org/officeDocument/2006/relationships/hyperlink" Target="FRM_Case_Workbook_Student_Edition.xlsx" TargetMode="External"/><Relationship Id="rId32" Type="http://schemas.openxmlformats.org/officeDocument/2006/relationships/hyperlink" Target="FRM_Case_Workbook_Student_Edition.xlsx" TargetMode="External"/><Relationship Id="rId33" Type="http://schemas.openxmlformats.org/officeDocument/2006/relationships/hyperlink" Target="FRM_Case_Workbook_Student_Edition.xlsx" TargetMode="External"/><Relationship Id="rId34" Type="http://schemas.openxmlformats.org/officeDocument/2006/relationships/hyperlink" Target="FRM_Case_Workbook_Student_Edition.xlsx" TargetMode="External"/><Relationship Id="rId35" Type="http://schemas.openxmlformats.org/officeDocument/2006/relationships/hyperlink" Target="FRM_Case_Workbook_Student_Edition.xlsx" TargetMode="External"/><Relationship Id="rId36" Type="http://schemas.openxmlformats.org/officeDocument/2006/relationships/hyperlink" Target="FRM_Case_Workbook_Student_Edition.xlsx" TargetMode="External"/><Relationship Id="rId37" Type="http://schemas.openxmlformats.org/officeDocument/2006/relationships/hyperlink" Target="FRM_Case_Workbook_Student_Edition.xlsx" TargetMode="External"/>
</Relationships>
</file>

<file path=xl/worksheets/_rels/sheet2.xml.rels><?xml version="1.0" encoding="UTF-8"?>
<Relationships xmlns="http://schemas.openxmlformats.org/package/2006/relationships"><Relationship Id="rId1" Type="http://schemas.openxmlformats.org/officeDocument/2006/relationships/hyperlink" Target="FRM_Case_Workbook_Student_Edition.xlsx"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4.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5.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6.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7.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8.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9.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1.xml.rels><?xml version="1.0" encoding="UTF-8"?>
<Relationships xmlns="http://schemas.openxmlformats.org/package/2006/relationships"><Relationship Id="rId1" Type="http://schemas.openxmlformats.org/officeDocument/2006/relationships/hyperlink" Target="FRM_Case_Workbook_Student_Edition.xlsx" TargetMode="External"/><Relationship Id="rId2"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3.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4.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5.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7.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8.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19.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0.xml.rels><?xml version="1.0" encoding="UTF-8"?>
<Relationships xmlns="http://schemas.openxmlformats.org/package/2006/relationships"><Relationship Id="rId1" Type="http://schemas.openxmlformats.org/officeDocument/2006/relationships/hyperlink" Target="FRM_Case_Workbook_Student_Edition.xlsx" TargetMode="External"/><Relationship Id="rId2"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2.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3.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4.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5.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6.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7.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8.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29.xml.rels><?xml version="1.0" encoding="UTF-8"?>
<Relationships xmlns="http://schemas.openxmlformats.org/package/2006/relationships"><Relationship Id="rId1" Type="http://schemas.openxmlformats.org/officeDocument/2006/relationships/hyperlink" Target="FRM_Case_Workbook_Student_Edition.xlsx" TargetMode="External"/><Relationship Id="rId2" Type="http://schemas.openxmlformats.org/officeDocument/2006/relationships/drawing" Target="../drawings/drawing4.xml"/>
</Relationships>
</file>

<file path=xl/worksheets/_rels/sheet30.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31.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32.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33.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34.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35.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36.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_rels/sheet37.xml.rels><?xml version="1.0" encoding="UTF-8"?>
<Relationships xmlns="http://schemas.openxmlformats.org/package/2006/relationships"><Relationship Id="rId1" Type="http://schemas.openxmlformats.org/officeDocument/2006/relationships/hyperlink" Target="FRM_Case_Workbook_Student_Editio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58"/>
    <col collapsed="false" customWidth="true" hidden="false" outlineLevel="0" max="4" min="4" style="0" width="26"/>
    <col collapsed="false" customWidth="true" hidden="false" outlineLevel="0" max="5" min="5" style="0" width="30"/>
    <col collapsed="false" customWidth="true" hidden="false" outlineLevel="0" max="6" min="6" style="0" width="18"/>
  </cols>
  <sheetData>
    <row r="2" customFormat="false" ht="15" hidden="false" customHeight="false" outlineLevel="0" collapsed="false">
      <c r="B2" s="1" t="s">
        <v>0</v>
      </c>
    </row>
    <row r="3" customFormat="false" ht="22.0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c r="D6" s="5"/>
      <c r="E6" s="5"/>
      <c r="F6" s="5"/>
    </row>
    <row r="7" customFormat="false" ht="15" hidden="false" customHeight="false" outlineLevel="0" collapsed="false">
      <c r="B7" s="6" t="s">
        <v>4</v>
      </c>
    </row>
    <row r="9" customFormat="false" ht="15" hidden="false" customHeight="false" outlineLevel="0" collapsed="false">
      <c r="B9" s="7" t="s">
        <v>5</v>
      </c>
    </row>
    <row r="10" customFormat="false" ht="15" hidden="false" customHeight="false" outlineLevel="0" collapsed="false">
      <c r="B10" s="8" t="s">
        <v>6</v>
      </c>
      <c r="C10" s="9" t="s">
        <v>7</v>
      </c>
    </row>
    <row r="11" customFormat="false" ht="15" hidden="false" customHeight="false" outlineLevel="0" collapsed="false">
      <c r="B11" s="10"/>
      <c r="C11" s="9" t="s">
        <v>8</v>
      </c>
    </row>
    <row r="12" customFormat="false" ht="15" hidden="false" customHeight="false" outlineLevel="0" collapsed="false">
      <c r="B12" s="6" t="s">
        <v>9</v>
      </c>
    </row>
    <row r="14" customFormat="false" ht="15" hidden="false" customHeight="false" outlineLevel="0" collapsed="false">
      <c r="B14" s="7" t="s">
        <v>10</v>
      </c>
    </row>
    <row r="15" customFormat="false" ht="15" hidden="false" customHeight="false" outlineLevel="0" collapsed="false">
      <c r="B15" s="11" t="s">
        <v>11</v>
      </c>
      <c r="C15" s="11" t="s">
        <v>12</v>
      </c>
      <c r="D15" s="11" t="s">
        <v>13</v>
      </c>
    </row>
    <row r="16" customFormat="false" ht="15" hidden="false" customHeight="false" outlineLevel="0" collapsed="false">
      <c r="B16" s="12" t="s">
        <v>14</v>
      </c>
      <c r="C16" s="12" t="s">
        <v>15</v>
      </c>
      <c r="D16" s="13" t="s">
        <v>16</v>
      </c>
    </row>
    <row r="17" customFormat="false" ht="15" hidden="false" customHeight="false" outlineLevel="0" collapsed="false">
      <c r="B17" s="14" t="s">
        <v>17</v>
      </c>
      <c r="C17" s="14" t="s">
        <v>18</v>
      </c>
      <c r="D17" s="15" t="s">
        <v>19</v>
      </c>
    </row>
    <row r="18" customFormat="false" ht="15" hidden="false" customHeight="false" outlineLevel="0" collapsed="false">
      <c r="B18" s="14" t="s">
        <v>20</v>
      </c>
      <c r="C18" s="14" t="s">
        <v>21</v>
      </c>
      <c r="D18" s="15" t="s">
        <v>22</v>
      </c>
    </row>
    <row r="19" customFormat="false" ht="15" hidden="false" customHeight="false" outlineLevel="0" collapsed="false">
      <c r="B19" s="14" t="s">
        <v>23</v>
      </c>
      <c r="C19" s="14" t="s">
        <v>24</v>
      </c>
      <c r="D19" s="15" t="s">
        <v>25</v>
      </c>
    </row>
    <row r="20" customFormat="false" ht="15" hidden="false" customHeight="false" outlineLevel="0" collapsed="false">
      <c r="B20" s="14" t="s">
        <v>26</v>
      </c>
      <c r="C20" s="14" t="s">
        <v>27</v>
      </c>
      <c r="D20" s="15" t="s">
        <v>28</v>
      </c>
    </row>
    <row r="21" customFormat="false" ht="15" hidden="false" customHeight="false" outlineLevel="0" collapsed="false">
      <c r="B21" s="14" t="s">
        <v>29</v>
      </c>
      <c r="C21" s="14" t="s">
        <v>30</v>
      </c>
      <c r="D21" s="15" t="s">
        <v>31</v>
      </c>
    </row>
    <row r="22" customFormat="false" ht="15" hidden="false" customHeight="false" outlineLevel="0" collapsed="false">
      <c r="B22" s="14" t="s">
        <v>32</v>
      </c>
      <c r="C22" s="14" t="s">
        <v>33</v>
      </c>
      <c r="D22" s="15" t="s">
        <v>34</v>
      </c>
    </row>
    <row r="23" customFormat="false" ht="15" hidden="false" customHeight="false" outlineLevel="0" collapsed="false">
      <c r="B23" s="14" t="s">
        <v>35</v>
      </c>
      <c r="C23" s="14" t="s">
        <v>36</v>
      </c>
      <c r="D23" s="15" t="s">
        <v>37</v>
      </c>
    </row>
    <row r="24" customFormat="false" ht="15" hidden="false" customHeight="false" outlineLevel="0" collapsed="false">
      <c r="B24" s="14" t="s">
        <v>38</v>
      </c>
      <c r="C24" s="14" t="s">
        <v>39</v>
      </c>
      <c r="D24" s="15" t="s">
        <v>40</v>
      </c>
    </row>
    <row r="25" customFormat="false" ht="15" hidden="false" customHeight="false" outlineLevel="0" collapsed="false">
      <c r="B25" s="12" t="s">
        <v>41</v>
      </c>
      <c r="C25" s="12" t="s">
        <v>42</v>
      </c>
      <c r="D25" s="13" t="s">
        <v>43</v>
      </c>
    </row>
    <row r="26" customFormat="false" ht="15" hidden="false" customHeight="false" outlineLevel="0" collapsed="false">
      <c r="B26" s="14" t="s">
        <v>44</v>
      </c>
      <c r="C26" s="14" t="s">
        <v>45</v>
      </c>
      <c r="D26" s="15" t="s">
        <v>46</v>
      </c>
    </row>
    <row r="27" customFormat="false" ht="15" hidden="false" customHeight="false" outlineLevel="0" collapsed="false">
      <c r="B27" s="14" t="s">
        <v>47</v>
      </c>
      <c r="C27" s="14" t="s">
        <v>48</v>
      </c>
      <c r="D27" s="15" t="s">
        <v>49</v>
      </c>
    </row>
    <row r="28" customFormat="false" ht="15" hidden="false" customHeight="false" outlineLevel="0" collapsed="false">
      <c r="B28" s="14" t="s">
        <v>50</v>
      </c>
      <c r="C28" s="14" t="s">
        <v>51</v>
      </c>
      <c r="D28" s="15" t="s">
        <v>52</v>
      </c>
    </row>
    <row r="29" customFormat="false" ht="15" hidden="false" customHeight="false" outlineLevel="0" collapsed="false">
      <c r="B29" s="14" t="s">
        <v>53</v>
      </c>
      <c r="C29" s="14" t="s">
        <v>54</v>
      </c>
      <c r="D29" s="15" t="s">
        <v>55</v>
      </c>
    </row>
    <row r="30" customFormat="false" ht="15" hidden="false" customHeight="false" outlineLevel="0" collapsed="false">
      <c r="B30" s="14" t="s">
        <v>56</v>
      </c>
      <c r="C30" s="14" t="s">
        <v>57</v>
      </c>
      <c r="D30" s="15" t="s">
        <v>58</v>
      </c>
    </row>
    <row r="31" customFormat="false" ht="15" hidden="false" customHeight="false" outlineLevel="0" collapsed="false">
      <c r="B31" s="14" t="s">
        <v>59</v>
      </c>
      <c r="C31" s="14" t="s">
        <v>60</v>
      </c>
      <c r="D31" s="15" t="s">
        <v>61</v>
      </c>
    </row>
    <row r="32" customFormat="false" ht="15" hidden="false" customHeight="false" outlineLevel="0" collapsed="false">
      <c r="B32" s="14" t="s">
        <v>62</v>
      </c>
      <c r="C32" s="14" t="s">
        <v>63</v>
      </c>
      <c r="D32" s="15" t="s">
        <v>64</v>
      </c>
    </row>
    <row r="33" customFormat="false" ht="15" hidden="false" customHeight="false" outlineLevel="0" collapsed="false">
      <c r="B33" s="14" t="s">
        <v>65</v>
      </c>
      <c r="C33" s="14" t="s">
        <v>66</v>
      </c>
      <c r="D33" s="15" t="s">
        <v>67</v>
      </c>
    </row>
    <row r="34" customFormat="false" ht="15" hidden="false" customHeight="false" outlineLevel="0" collapsed="false">
      <c r="B34" s="12" t="s">
        <v>68</v>
      </c>
      <c r="C34" s="12" t="s">
        <v>69</v>
      </c>
      <c r="D34" s="13" t="s">
        <v>70</v>
      </c>
    </row>
    <row r="35" customFormat="false" ht="15" hidden="false" customHeight="false" outlineLevel="0" collapsed="false">
      <c r="B35" s="14" t="s">
        <v>71</v>
      </c>
      <c r="C35" s="14" t="s">
        <v>72</v>
      </c>
      <c r="D35" s="15" t="s">
        <v>73</v>
      </c>
    </row>
    <row r="36" customFormat="false" ht="15" hidden="false" customHeight="false" outlineLevel="0" collapsed="false">
      <c r="B36" s="14" t="s">
        <v>74</v>
      </c>
      <c r="C36" s="14" t="s">
        <v>75</v>
      </c>
      <c r="D36" s="15" t="s">
        <v>76</v>
      </c>
    </row>
    <row r="37" customFormat="false" ht="15" hidden="false" customHeight="false" outlineLevel="0" collapsed="false">
      <c r="B37" s="14" t="s">
        <v>77</v>
      </c>
      <c r="C37" s="14" t="s">
        <v>78</v>
      </c>
      <c r="D37" s="15" t="s">
        <v>79</v>
      </c>
    </row>
    <row r="38" customFormat="false" ht="15" hidden="false" customHeight="false" outlineLevel="0" collapsed="false">
      <c r="B38" s="14" t="s">
        <v>80</v>
      </c>
      <c r="C38" s="14" t="s">
        <v>81</v>
      </c>
      <c r="D38" s="15" t="s">
        <v>82</v>
      </c>
    </row>
    <row r="39" customFormat="false" ht="15" hidden="false" customHeight="false" outlineLevel="0" collapsed="false">
      <c r="B39" s="14" t="s">
        <v>83</v>
      </c>
      <c r="C39" s="14" t="s">
        <v>84</v>
      </c>
      <c r="D39" s="15" t="s">
        <v>85</v>
      </c>
    </row>
    <row r="40" customFormat="false" ht="15" hidden="false" customHeight="false" outlineLevel="0" collapsed="false">
      <c r="B40" s="14" t="s">
        <v>86</v>
      </c>
      <c r="C40" s="14" t="s">
        <v>87</v>
      </c>
      <c r="D40" s="15" t="s">
        <v>88</v>
      </c>
    </row>
    <row r="41" customFormat="false" ht="15" hidden="false" customHeight="false" outlineLevel="0" collapsed="false">
      <c r="B41" s="14" t="s">
        <v>89</v>
      </c>
      <c r="C41" s="14" t="s">
        <v>90</v>
      </c>
      <c r="D41" s="15" t="s">
        <v>91</v>
      </c>
    </row>
    <row r="42" customFormat="false" ht="15" hidden="false" customHeight="false" outlineLevel="0" collapsed="false">
      <c r="B42" s="14" t="s">
        <v>92</v>
      </c>
      <c r="C42" s="14" t="s">
        <v>93</v>
      </c>
      <c r="D42" s="15" t="s">
        <v>94</v>
      </c>
    </row>
    <row r="43" customFormat="false" ht="15" hidden="false" customHeight="false" outlineLevel="0" collapsed="false">
      <c r="B43" s="12" t="s">
        <v>95</v>
      </c>
      <c r="C43" s="12" t="s">
        <v>96</v>
      </c>
      <c r="D43" s="13" t="s">
        <v>97</v>
      </c>
    </row>
    <row r="44" customFormat="false" ht="15" hidden="false" customHeight="false" outlineLevel="0" collapsed="false">
      <c r="B44" s="14" t="s">
        <v>98</v>
      </c>
      <c r="C44" s="14" t="s">
        <v>99</v>
      </c>
      <c r="D44" s="15" t="s">
        <v>100</v>
      </c>
    </row>
    <row r="45" customFormat="false" ht="15" hidden="false" customHeight="false" outlineLevel="0" collapsed="false">
      <c r="B45" s="14" t="s">
        <v>101</v>
      </c>
      <c r="C45" s="14" t="s">
        <v>102</v>
      </c>
      <c r="D45" s="15" t="s">
        <v>103</v>
      </c>
    </row>
    <row r="46" customFormat="false" ht="15" hidden="false" customHeight="false" outlineLevel="0" collapsed="false">
      <c r="B46" s="14" t="s">
        <v>104</v>
      </c>
      <c r="C46" s="14" t="s">
        <v>105</v>
      </c>
      <c r="D46" s="15" t="s">
        <v>106</v>
      </c>
    </row>
    <row r="47" customFormat="false" ht="15" hidden="false" customHeight="false" outlineLevel="0" collapsed="false">
      <c r="B47" s="14" t="s">
        <v>107</v>
      </c>
      <c r="C47" s="14" t="s">
        <v>108</v>
      </c>
      <c r="D47" s="15" t="s">
        <v>109</v>
      </c>
    </row>
    <row r="48" customFormat="false" ht="15" hidden="false" customHeight="false" outlineLevel="0" collapsed="false">
      <c r="B48" s="14" t="s">
        <v>110</v>
      </c>
      <c r="C48" s="14" t="s">
        <v>111</v>
      </c>
      <c r="D48" s="15" t="s">
        <v>112</v>
      </c>
    </row>
    <row r="49" customFormat="false" ht="15" hidden="false" customHeight="false" outlineLevel="0" collapsed="false">
      <c r="B49" s="14" t="s">
        <v>113</v>
      </c>
      <c r="C49" s="14" t="s">
        <v>114</v>
      </c>
      <c r="D49" s="15" t="s">
        <v>115</v>
      </c>
    </row>
    <row r="50" customFormat="false" ht="15" hidden="false" customHeight="false" outlineLevel="0" collapsed="false">
      <c r="B50" s="14" t="s">
        <v>116</v>
      </c>
      <c r="C50" s="14" t="s">
        <v>117</v>
      </c>
      <c r="D50" s="15" t="s">
        <v>118</v>
      </c>
    </row>
    <row r="51" customFormat="false" ht="15" hidden="false" customHeight="false" outlineLevel="0" collapsed="false">
      <c r="B51" s="14" t="s">
        <v>119</v>
      </c>
      <c r="C51" s="14" t="s">
        <v>120</v>
      </c>
      <c r="D51" s="15" t="s">
        <v>121</v>
      </c>
    </row>
    <row r="52" customFormat="false" ht="15" hidden="false" customHeight="false" outlineLevel="0" collapsed="false">
      <c r="B52" s="14" t="s">
        <v>122</v>
      </c>
      <c r="C52" s="14" t="s">
        <v>123</v>
      </c>
      <c r="D52" s="15" t="s">
        <v>124</v>
      </c>
    </row>
  </sheetData>
  <hyperlinks>
    <hyperlink ref="D16" r:id="rId1" location="'M1%20VaR%20Concept'!A1" display="M1 VaR Concept"/>
    <hyperlink ref="D17" r:id="rId2" location="'1.1%20Parametric%20VaR'!A1" display="1.1 Parametric VaR"/>
    <hyperlink ref="D18" r:id="rId3" location="'1.2%20Portfolio%20VaR'!A1" display="1.2 Portfolio VaR"/>
    <hyperlink ref="D19" r:id="rId4" location="'1.3%20Historical%20VaR%20&amp;%20ES'!A1" display="1.3 Historical VaR &amp; ES"/>
    <hyperlink ref="D20" r:id="rId5" location="'1.4%20VaR%20Backtesting'!A1" display="1.4 VaR Backtesting"/>
    <hyperlink ref="D21" r:id="rId6" location="'1.5%20Bond%20VaR'!A1" display="1.5 Bond VaR"/>
    <hyperlink ref="D22" r:id="rId7" location="'1.6%20FX%20VaR'!A1" display="1.6 FX VaR"/>
    <hyperlink ref="D23" r:id="rId8" location="'1.7%20VaR%20vs%20ES'!A1" display="1.7 VaR vs ES"/>
    <hyperlink ref="D24" r:id="rId9" location="'1.8%20Basel%20Market%20Capital'!A1" display="1.8 Basel Market Capital"/>
    <hyperlink ref="D25" r:id="rId10" location="'M2%20Sensitivity%20Concept'!A1" display="M2 Sensitivity Concept"/>
    <hyperlink ref="D26" r:id="rId11" location="'2.1%20Bond%20Duration'!A1" display="2.1 Bond Duration"/>
    <hyperlink ref="D27" r:id="rId12" location="'2.2%20Convexity'!A1" display="2.2 Convexity"/>
    <hyperlink ref="D28" r:id="rId13" location="'2.3%20PV01%20Hedging'!A1" display="2.3 PV01 Hedging"/>
    <hyperlink ref="D29" r:id="rId14" location="'2.4%20Beta%20Hedging'!A1" display="2.4 Beta Hedging"/>
    <hyperlink ref="D30" r:id="rId15" location="'2.5%20Option%20Greeks'!A1" display="2.5 Option Greeks"/>
    <hyperlink ref="D31" r:id="rId16" location="'2.6%20Delta-Gamma%20Hedge'!A1" display="2.6 Delta-Gamma Hedge"/>
    <hyperlink ref="D32" r:id="rId17" location="'2.7%20Duration%20Gap'!A1" display="2.7 Duration Gap"/>
    <hyperlink ref="D33" r:id="rId18" location="'2.8%20Effective%20Duration'!A1" display="2.8 Effective Duration"/>
    <hyperlink ref="D34" r:id="rId19" location="'M3%20RAROC%20Concept'!A1" display="M3 RAROC Concept"/>
    <hyperlink ref="D35" r:id="rId20" location="'3.1%20Loan%20RAROC'!A1" display="3.1 Loan RAROC"/>
    <hyperlink ref="D36" r:id="rId21" location="'3.2%20Risk-Based%20Pricing'!A1" display="3.2 Risk-Based Pricing"/>
    <hyperlink ref="D37" r:id="rId22" location="'3.3%20Corporate%20vs%20SME'!A1" display="3.3 Corporate vs SME"/>
    <hyperlink ref="D38" r:id="rId23" location="'3.4%20Economic%20Capital'!A1" display="3.4 Economic Capital"/>
    <hyperlink ref="D39" r:id="rId24" location="'3.5%20Trading%20Desk%20RAROC'!A1" display="3.5 Trading Desk RAROC"/>
    <hyperlink ref="D40" r:id="rId25" location="'3.6%20Relationship%20RAROC'!A1" display="3.6 Relationship RAROC"/>
    <hyperlink ref="D41" r:id="rId26" location="'3.7%20Capital%20Allocation'!A1" display="3.7 Capital Allocation"/>
    <hyperlink ref="D42" r:id="rId27" location="'3.8%20Collateral%20Impact'!A1" display="3.8 Collateral Impact"/>
    <hyperlink ref="D43" r:id="rId28" location="'M4%20Regression%20Concept'!A1" display="M4 Regression Concept"/>
    <hyperlink ref="D44" r:id="rId29" location="'4.1%20Beta%20Regression'!A1" display="4.1 Beta Regression"/>
    <hyperlink ref="D45" r:id="rId30" location="'4.2%20Multiple%20Regression'!A1" display="4.2 Multiple Regression"/>
    <hyperlink ref="D46" r:id="rId31" location="'4.3%20Hedge%20Ratio'!A1" display="4.3 Hedge Ratio"/>
    <hyperlink ref="D47" r:id="rId32" location="'4.4%20Portfolio%20Variance'!A1" display="4.4 Portfolio Variance"/>
    <hyperlink ref="D48" r:id="rId33" location="'4.5%20Variance%20Decomposition'!A1" display="4.5 Variance Decomposition"/>
    <hyperlink ref="D49" r:id="rId34" location="'4.6%20Fund%20Volatility'!A1" display="4.6 Fund Volatility"/>
    <hyperlink ref="D50" r:id="rId35" location="'4.7%20Flexible%20Budget'!A1" display="4.7 Flexible Budget"/>
    <hyperlink ref="D51" r:id="rId36" location="'4.8%20ANOVA'!A1" display="4.8 ANOVA"/>
    <hyperlink ref="D52" r:id="rId37" location="'Formula%20Sheet'!A1" display="Formula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125</v>
      </c>
      <c r="I1" s="17" t="s">
        <v>126</v>
      </c>
    </row>
    <row r="3" customFormat="false" ht="15" hidden="false" customHeight="false" outlineLevel="0" collapsed="false">
      <c r="B3" s="18" t="s">
        <v>127</v>
      </c>
      <c r="C3" s="19"/>
      <c r="D3" s="19"/>
      <c r="E3" s="19"/>
      <c r="F3" s="19"/>
      <c r="G3" s="19"/>
      <c r="H3" s="19"/>
      <c r="I3" s="19"/>
    </row>
    <row r="4" customFormat="false" ht="57" hidden="false" customHeight="true" outlineLevel="0" collapsed="false">
      <c r="B4" s="20" t="s">
        <v>128</v>
      </c>
      <c r="C4" s="20"/>
      <c r="D4" s="20"/>
      <c r="E4" s="20"/>
      <c r="F4" s="20"/>
      <c r="G4" s="20"/>
      <c r="H4" s="20"/>
      <c r="I4" s="20"/>
    </row>
    <row r="6" customFormat="false" ht="15" hidden="false" customHeight="false" outlineLevel="0" collapsed="false">
      <c r="B6" s="18" t="s">
        <v>129</v>
      </c>
      <c r="C6" s="19"/>
      <c r="D6" s="19"/>
      <c r="E6" s="19"/>
      <c r="F6" s="19"/>
      <c r="G6" s="19"/>
      <c r="H6" s="19"/>
      <c r="I6" s="19"/>
    </row>
    <row r="7" customFormat="false" ht="16.5" hidden="false" customHeight="true" outlineLevel="0" collapsed="false">
      <c r="B7" s="20" t="s">
        <v>130</v>
      </c>
      <c r="C7" s="20"/>
      <c r="D7" s="20"/>
      <c r="E7" s="20"/>
      <c r="F7" s="20"/>
      <c r="G7" s="20"/>
      <c r="H7" s="20"/>
      <c r="I7" s="20"/>
    </row>
    <row r="8" customFormat="false" ht="16.5" hidden="false" customHeight="true" outlineLevel="0" collapsed="false">
      <c r="B8" s="20" t="s">
        <v>131</v>
      </c>
      <c r="C8" s="20"/>
      <c r="D8" s="20"/>
      <c r="E8" s="20"/>
      <c r="F8" s="20"/>
      <c r="G8" s="20"/>
      <c r="H8" s="20"/>
      <c r="I8" s="20"/>
    </row>
    <row r="9" customFormat="false" ht="30" hidden="false" customHeight="true" outlineLevel="0" collapsed="false">
      <c r="B9" s="20" t="s">
        <v>132</v>
      </c>
      <c r="C9" s="20"/>
      <c r="D9" s="20"/>
      <c r="E9" s="20"/>
      <c r="F9" s="20"/>
      <c r="G9" s="20"/>
      <c r="H9" s="20"/>
      <c r="I9" s="20"/>
    </row>
    <row r="10" customFormat="false" ht="30" hidden="false" customHeight="true" outlineLevel="0" collapsed="false">
      <c r="B10" s="20" t="s">
        <v>133</v>
      </c>
      <c r="C10" s="20"/>
      <c r="D10" s="20"/>
      <c r="E10" s="20"/>
      <c r="F10" s="20"/>
      <c r="G10" s="20"/>
      <c r="H10" s="20"/>
      <c r="I10" s="20"/>
    </row>
    <row r="12" customFormat="false" ht="15" hidden="false" customHeight="false" outlineLevel="0" collapsed="false">
      <c r="B12" s="18" t="s">
        <v>134</v>
      </c>
      <c r="C12" s="19"/>
      <c r="D12" s="19"/>
      <c r="E12" s="19"/>
      <c r="F12" s="19"/>
      <c r="G12" s="19"/>
      <c r="H12" s="19"/>
      <c r="I12" s="19"/>
    </row>
    <row r="13" customFormat="false" ht="30" hidden="false" customHeight="true" outlineLevel="0" collapsed="false">
      <c r="B13" s="20" t="s">
        <v>135</v>
      </c>
      <c r="C13" s="20"/>
      <c r="D13" s="20"/>
      <c r="E13" s="20"/>
      <c r="F13" s="20"/>
      <c r="G13" s="20"/>
      <c r="H13" s="20"/>
      <c r="I13" s="20"/>
    </row>
    <row r="14" customFormat="false" ht="30" hidden="false" customHeight="true" outlineLevel="0" collapsed="false">
      <c r="B14" s="20" t="s">
        <v>136</v>
      </c>
      <c r="C14" s="20"/>
      <c r="D14" s="20"/>
      <c r="E14" s="20"/>
      <c r="F14" s="20"/>
      <c r="G14" s="20"/>
      <c r="H14" s="20"/>
      <c r="I14" s="20"/>
    </row>
    <row r="15" customFormat="false" ht="30" hidden="false" customHeight="true" outlineLevel="0" collapsed="false">
      <c r="B15" s="20" t="s">
        <v>137</v>
      </c>
      <c r="C15" s="20"/>
      <c r="D15" s="20"/>
      <c r="E15" s="20"/>
      <c r="F15" s="20"/>
      <c r="G15" s="20"/>
      <c r="H15" s="20"/>
      <c r="I15" s="20"/>
    </row>
    <row r="16" customFormat="false" ht="16.5" hidden="false" customHeight="true" outlineLevel="0" collapsed="false">
      <c r="B16" s="20" t="s">
        <v>138</v>
      </c>
      <c r="C16" s="20"/>
      <c r="D16" s="20"/>
      <c r="E16" s="20"/>
      <c r="F16" s="20"/>
      <c r="G16" s="20"/>
      <c r="H16" s="20"/>
      <c r="I16" s="20"/>
    </row>
    <row r="18" customFormat="false" ht="15" hidden="false" customHeight="false" outlineLevel="0" collapsed="false">
      <c r="B18" s="18" t="s">
        <v>139</v>
      </c>
      <c r="C18" s="19"/>
      <c r="D18" s="19"/>
      <c r="E18" s="19"/>
      <c r="F18" s="19"/>
      <c r="G18" s="19"/>
      <c r="H18" s="19"/>
      <c r="I18" s="19"/>
    </row>
    <row r="19" customFormat="false" ht="15" hidden="false" customHeight="false" outlineLevel="0" collapsed="false">
      <c r="B19" s="11" t="s">
        <v>140</v>
      </c>
      <c r="C19" s="21" t="s">
        <v>141</v>
      </c>
    </row>
    <row r="20" customFormat="false" ht="15" hidden="false" customHeight="false" outlineLevel="0" collapsed="false">
      <c r="B20" s="22" t="s">
        <v>142</v>
      </c>
      <c r="C20" s="23" t="s">
        <v>143</v>
      </c>
      <c r="D20" s="23"/>
      <c r="E20" s="23"/>
      <c r="F20" s="23"/>
      <c r="G20" s="23"/>
      <c r="H20" s="23"/>
      <c r="I20" s="23"/>
    </row>
    <row r="21" customFormat="false" ht="15" hidden="false" customHeight="false" outlineLevel="0" collapsed="false">
      <c r="B21" s="22" t="s">
        <v>144</v>
      </c>
      <c r="C21" s="23" t="s">
        <v>145</v>
      </c>
      <c r="D21" s="23"/>
      <c r="E21" s="23"/>
      <c r="F21" s="23"/>
      <c r="G21" s="23"/>
      <c r="H21" s="23"/>
      <c r="I21" s="23"/>
    </row>
    <row r="22" customFormat="false" ht="15" hidden="false" customHeight="false" outlineLevel="0" collapsed="false">
      <c r="B22" s="22" t="s">
        <v>146</v>
      </c>
      <c r="C22" s="23" t="s">
        <v>147</v>
      </c>
      <c r="D22" s="23"/>
      <c r="E22" s="23"/>
      <c r="F22" s="23"/>
      <c r="G22" s="23"/>
      <c r="H22" s="23"/>
      <c r="I22" s="23"/>
    </row>
    <row r="23" customFormat="false" ht="15" hidden="false" customHeight="false" outlineLevel="0" collapsed="false">
      <c r="B23" s="22" t="s">
        <v>148</v>
      </c>
      <c r="C23" s="23" t="s">
        <v>149</v>
      </c>
      <c r="D23" s="23"/>
      <c r="E23" s="23"/>
      <c r="F23" s="23"/>
      <c r="G23" s="23"/>
      <c r="H23" s="23"/>
      <c r="I23" s="23"/>
    </row>
    <row r="24" customFormat="false" ht="15" hidden="false" customHeight="false" outlineLevel="0" collapsed="false">
      <c r="B24" s="22" t="s">
        <v>150</v>
      </c>
      <c r="C24" s="23" t="s">
        <v>151</v>
      </c>
      <c r="D24" s="23"/>
      <c r="E24" s="23"/>
      <c r="F24" s="23"/>
      <c r="G24" s="23"/>
      <c r="H24" s="23"/>
      <c r="I24" s="23"/>
    </row>
    <row r="25" customFormat="false" ht="15" hidden="false" customHeight="false" outlineLevel="0" collapsed="false">
      <c r="B25" s="22" t="s">
        <v>152</v>
      </c>
      <c r="C25" s="23" t="s">
        <v>153</v>
      </c>
      <c r="D25" s="23"/>
      <c r="E25" s="23"/>
      <c r="F25" s="23"/>
      <c r="G25" s="23"/>
      <c r="H25" s="23"/>
      <c r="I25" s="23"/>
    </row>
    <row r="26" customFormat="false" ht="15" hidden="false" customHeight="false" outlineLevel="0" collapsed="false">
      <c r="B26" s="22" t="s">
        <v>154</v>
      </c>
      <c r="C26" s="23" t="s">
        <v>155</v>
      </c>
      <c r="D26" s="23"/>
      <c r="E26" s="23"/>
      <c r="F26" s="23"/>
      <c r="G26" s="23"/>
      <c r="H26" s="23"/>
      <c r="I26" s="23"/>
    </row>
    <row r="28" customFormat="false" ht="15" hidden="false" customHeight="false" outlineLevel="0" collapsed="false">
      <c r="B28" s="18" t="s">
        <v>156</v>
      </c>
      <c r="C28" s="19"/>
      <c r="D28" s="19"/>
      <c r="E28" s="19"/>
      <c r="F28" s="19"/>
      <c r="G28" s="19"/>
      <c r="H28" s="19"/>
      <c r="I28" s="19"/>
    </row>
    <row r="46" customFormat="false" ht="16.5" hidden="false" customHeight="true" outlineLevel="0" collapsed="false">
      <c r="B46" s="24" t="s">
        <v>157</v>
      </c>
      <c r="C46" s="24"/>
      <c r="D46" s="24"/>
      <c r="E46" s="24"/>
      <c r="F46" s="24"/>
      <c r="G46" s="24"/>
      <c r="H46" s="24"/>
      <c r="I46" s="24"/>
    </row>
    <row r="64" customFormat="false" ht="16.5" hidden="false" customHeight="true" outlineLevel="0" collapsed="false">
      <c r="B64" s="24" t="s">
        <v>158</v>
      </c>
      <c r="C64" s="24"/>
      <c r="D64" s="24"/>
      <c r="E64" s="24"/>
      <c r="F64" s="24"/>
      <c r="G64" s="24"/>
      <c r="H64" s="24"/>
      <c r="I64" s="24"/>
    </row>
    <row r="66" customFormat="false" ht="15" hidden="false" customHeight="false" outlineLevel="0" collapsed="false">
      <c r="B66" s="18" t="s">
        <v>159</v>
      </c>
      <c r="C66" s="19"/>
      <c r="D66" s="19"/>
      <c r="E66" s="19"/>
      <c r="F66" s="19"/>
      <c r="G66" s="19"/>
      <c r="H66" s="19"/>
      <c r="I66" s="19"/>
    </row>
    <row r="67" customFormat="false" ht="16.5" hidden="false" customHeight="true" outlineLevel="0" collapsed="false">
      <c r="B67" s="25" t="s">
        <v>160</v>
      </c>
      <c r="C67" s="25"/>
      <c r="D67" s="25"/>
      <c r="E67" s="25"/>
      <c r="F67" s="25"/>
      <c r="G67" s="25"/>
      <c r="H67" s="25"/>
      <c r="I67" s="25"/>
    </row>
    <row r="68" customFormat="false" ht="43.5" hidden="false" customHeight="true" outlineLevel="0" collapsed="false">
      <c r="B68" s="26" t="s">
        <v>161</v>
      </c>
      <c r="C68" s="26"/>
      <c r="D68" s="26"/>
      <c r="E68" s="26"/>
      <c r="F68" s="26"/>
      <c r="G68" s="26"/>
      <c r="H68" s="26"/>
      <c r="I68" s="26"/>
    </row>
    <row r="69" customFormat="false" ht="16.5" hidden="false" customHeight="true" outlineLevel="0" collapsed="false">
      <c r="B69" s="25" t="s">
        <v>162</v>
      </c>
      <c r="C69" s="25"/>
      <c r="D69" s="25"/>
      <c r="E69" s="25"/>
      <c r="F69" s="25"/>
      <c r="G69" s="25"/>
      <c r="H69" s="25"/>
      <c r="I69" s="25"/>
    </row>
    <row r="70" customFormat="false" ht="43.5" hidden="false" customHeight="true" outlineLevel="0" collapsed="false">
      <c r="B70" s="26" t="s">
        <v>163</v>
      </c>
      <c r="C70" s="26"/>
      <c r="D70" s="26"/>
      <c r="E70" s="26"/>
      <c r="F70" s="26"/>
      <c r="G70" s="26"/>
      <c r="H70" s="26"/>
      <c r="I70" s="26"/>
    </row>
    <row r="71" customFormat="false" ht="16.5" hidden="false" customHeight="true" outlineLevel="0" collapsed="false">
      <c r="B71" s="25" t="s">
        <v>164</v>
      </c>
      <c r="C71" s="25"/>
      <c r="D71" s="25"/>
      <c r="E71" s="25"/>
      <c r="F71" s="25"/>
      <c r="G71" s="25"/>
      <c r="H71" s="25"/>
      <c r="I71" s="25"/>
    </row>
    <row r="72" customFormat="false" ht="30" hidden="false" customHeight="true" outlineLevel="0" collapsed="false">
      <c r="B72" s="26" t="s">
        <v>165</v>
      </c>
      <c r="C72" s="26"/>
      <c r="D72" s="26"/>
      <c r="E72" s="26"/>
      <c r="F72" s="26"/>
      <c r="G72" s="26"/>
      <c r="H72" s="26"/>
      <c r="I72" s="26"/>
    </row>
    <row r="73" customFormat="false" ht="16.5" hidden="false" customHeight="true" outlineLevel="0" collapsed="false">
      <c r="B73" s="25" t="s">
        <v>166</v>
      </c>
      <c r="C73" s="25"/>
      <c r="D73" s="25"/>
      <c r="E73" s="25"/>
      <c r="F73" s="25"/>
      <c r="G73" s="25"/>
      <c r="H73" s="25"/>
      <c r="I73" s="25"/>
    </row>
    <row r="74" customFormat="false" ht="30" hidden="false" customHeight="true" outlineLevel="0" collapsed="false">
      <c r="B74" s="26" t="s">
        <v>167</v>
      </c>
      <c r="C74" s="26"/>
      <c r="D74" s="26"/>
      <c r="E74" s="26"/>
      <c r="F74" s="26"/>
      <c r="G74" s="26"/>
      <c r="H74" s="26"/>
      <c r="I74" s="26"/>
    </row>
    <row r="76" customFormat="false" ht="15" hidden="false" customHeight="false" outlineLevel="0" collapsed="false">
      <c r="B76" s="18" t="s">
        <v>168</v>
      </c>
      <c r="C76" s="19"/>
      <c r="D76" s="19"/>
      <c r="E76" s="19"/>
      <c r="F76" s="19"/>
      <c r="G76" s="19"/>
      <c r="H76" s="19"/>
      <c r="I76" s="19"/>
    </row>
    <row r="77" customFormat="false" ht="16.5" hidden="false" customHeight="true" outlineLevel="0" collapsed="false">
      <c r="B77" s="20" t="s">
        <v>169</v>
      </c>
      <c r="C77" s="20"/>
      <c r="D77" s="20"/>
      <c r="E77" s="20"/>
      <c r="F77" s="20"/>
      <c r="G77" s="20"/>
      <c r="H77" s="20"/>
      <c r="I77" s="20"/>
    </row>
    <row r="78" customFormat="false" ht="16.5" hidden="false" customHeight="true" outlineLevel="0" collapsed="false">
      <c r="B78" s="20" t="s">
        <v>170</v>
      </c>
      <c r="C78" s="20"/>
      <c r="D78" s="20"/>
      <c r="E78" s="20"/>
      <c r="F78" s="20"/>
      <c r="G78" s="20"/>
      <c r="H78" s="20"/>
      <c r="I78" s="20"/>
    </row>
    <row r="79" customFormat="false" ht="30" hidden="false" customHeight="true" outlineLevel="0" collapsed="false">
      <c r="B79" s="20" t="s">
        <v>171</v>
      </c>
      <c r="C79" s="20"/>
      <c r="D79" s="20"/>
      <c r="E79" s="20"/>
      <c r="F79" s="20"/>
      <c r="G79" s="20"/>
      <c r="H79" s="20"/>
      <c r="I79" s="20"/>
    </row>
    <row r="80" customFormat="false" ht="16.5" hidden="false" customHeight="true" outlineLevel="0" collapsed="false">
      <c r="B80" s="20" t="s">
        <v>172</v>
      </c>
      <c r="C80" s="20"/>
      <c r="D80" s="20"/>
      <c r="E80" s="20"/>
      <c r="F80" s="20"/>
      <c r="G80" s="20"/>
      <c r="H80" s="20"/>
      <c r="I80" s="20"/>
    </row>
    <row r="81" customFormat="false" ht="16.5" hidden="false" customHeight="true" outlineLevel="0" collapsed="false">
      <c r="B81" s="20" t="s">
        <v>173</v>
      </c>
      <c r="C81" s="20"/>
      <c r="D81" s="20"/>
      <c r="E81" s="20"/>
      <c r="F81" s="20"/>
      <c r="G81" s="20"/>
      <c r="H81" s="20"/>
      <c r="I81" s="20"/>
    </row>
    <row r="83" customFormat="false" ht="15" hidden="false" customHeight="false" outlineLevel="0" collapsed="false">
      <c r="B83" s="18" t="s">
        <v>174</v>
      </c>
      <c r="C83" s="19"/>
      <c r="D83" s="19"/>
      <c r="E83" s="19"/>
      <c r="F83" s="19"/>
      <c r="G83" s="19"/>
      <c r="H83" s="19"/>
      <c r="I83" s="19"/>
    </row>
    <row r="84" customFormat="false" ht="16.5" hidden="false" customHeight="true" outlineLevel="0" collapsed="false">
      <c r="B84" s="27" t="s">
        <v>175</v>
      </c>
      <c r="C84" s="27"/>
      <c r="D84" s="27"/>
      <c r="E84" s="27"/>
      <c r="F84" s="27"/>
      <c r="G84" s="27"/>
      <c r="H84" s="27"/>
      <c r="I84" s="27"/>
    </row>
    <row r="85" customFormat="false" ht="16.5" hidden="false" customHeight="true" outlineLevel="0" collapsed="false">
      <c r="B85" s="27" t="s">
        <v>176</v>
      </c>
      <c r="C85" s="27"/>
      <c r="D85" s="27"/>
      <c r="E85" s="27"/>
      <c r="F85" s="27"/>
      <c r="G85" s="27"/>
      <c r="H85" s="27"/>
      <c r="I85" s="27"/>
    </row>
    <row r="86" customFormat="false" ht="16.5" hidden="false" customHeight="true" outlineLevel="0" collapsed="false">
      <c r="B86" s="27" t="s">
        <v>177</v>
      </c>
      <c r="C86" s="27"/>
      <c r="D86" s="27"/>
      <c r="E86" s="27"/>
      <c r="F86" s="27"/>
      <c r="G86" s="27"/>
      <c r="H86" s="27"/>
      <c r="I86" s="27"/>
    </row>
    <row r="87" customFormat="false" ht="16.5" hidden="false" customHeight="true" outlineLevel="0" collapsed="false">
      <c r="B87" s="27" t="s">
        <v>178</v>
      </c>
      <c r="C87" s="27"/>
      <c r="D87" s="27"/>
      <c r="E87" s="27"/>
      <c r="F87" s="27"/>
      <c r="G87" s="27"/>
      <c r="H87" s="27"/>
      <c r="I87" s="27"/>
    </row>
    <row r="88" customFormat="false" ht="16.5" hidden="false" customHeight="true" outlineLevel="0" collapsed="false">
      <c r="B88" s="27" t="s">
        <v>179</v>
      </c>
      <c r="C88" s="27"/>
      <c r="D88" s="27"/>
      <c r="E88" s="27"/>
      <c r="F88" s="27"/>
      <c r="G88" s="27"/>
      <c r="H88" s="27"/>
      <c r="I88" s="27"/>
    </row>
  </sheetData>
  <mergeCells count="36">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C26:I26"/>
    <mergeCell ref="B46:I46"/>
    <mergeCell ref="B64:I64"/>
    <mergeCell ref="B67:I67"/>
    <mergeCell ref="B68:I68"/>
    <mergeCell ref="B69:I69"/>
    <mergeCell ref="B70:I70"/>
    <mergeCell ref="B71:I71"/>
    <mergeCell ref="B72:I72"/>
    <mergeCell ref="B73:I73"/>
    <mergeCell ref="B74:I74"/>
    <mergeCell ref="B77:I77"/>
    <mergeCell ref="B78:I78"/>
    <mergeCell ref="B79:I79"/>
    <mergeCell ref="B80:I80"/>
    <mergeCell ref="B81:I81"/>
    <mergeCell ref="B84:I84"/>
    <mergeCell ref="B85:I85"/>
    <mergeCell ref="B86:I86"/>
    <mergeCell ref="B87:I87"/>
    <mergeCell ref="B88:I88"/>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180</v>
      </c>
      <c r="I1" s="17" t="s">
        <v>126</v>
      </c>
    </row>
    <row r="2" customFormat="false" ht="15" hidden="false" customHeight="false" outlineLevel="0" collapsed="false">
      <c r="B2" s="28" t="s">
        <v>181</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183</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185</v>
      </c>
      <c r="C8" s="20"/>
      <c r="D8" s="20"/>
      <c r="E8" s="20"/>
      <c r="F8" s="20"/>
      <c r="G8" s="20"/>
      <c r="H8" s="20"/>
      <c r="I8" s="20"/>
    </row>
    <row r="9" customFormat="false" ht="16.5" hidden="false" customHeight="true" outlineLevel="0" collapsed="false">
      <c r="B9" s="20" t="s">
        <v>186</v>
      </c>
      <c r="C9" s="20"/>
      <c r="D9" s="20"/>
      <c r="E9" s="20"/>
      <c r="F9" s="20"/>
      <c r="G9" s="20"/>
      <c r="H9" s="20"/>
      <c r="I9" s="20"/>
    </row>
    <row r="10" customFormat="false" ht="16.5" hidden="false" customHeight="true" outlineLevel="0" collapsed="false">
      <c r="B10" s="20" t="s">
        <v>187</v>
      </c>
      <c r="C10" s="20"/>
      <c r="D10" s="20"/>
      <c r="E10" s="20"/>
      <c r="F10" s="20"/>
      <c r="G10" s="20"/>
      <c r="H10" s="20"/>
      <c r="I10" s="20"/>
    </row>
    <row r="11" customFormat="false" ht="16.5" hidden="false" customHeight="true" outlineLevel="0" collapsed="false">
      <c r="B11" s="20" t="s">
        <v>188</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c r="D14" s="21" t="s">
        <v>192</v>
      </c>
    </row>
    <row r="15" customFormat="false" ht="15" hidden="false" customHeight="false" outlineLevel="0" collapsed="false">
      <c r="B15" s="14" t="s">
        <v>193</v>
      </c>
      <c r="C15" s="29" t="n">
        <v>50</v>
      </c>
    </row>
    <row r="16" customFormat="false" ht="15" hidden="false" customHeight="false" outlineLevel="0" collapsed="false">
      <c r="B16" s="14" t="s">
        <v>194</v>
      </c>
      <c r="C16" s="30" t="n">
        <v>0.012</v>
      </c>
    </row>
    <row r="17" customFormat="false" ht="15" hidden="false" customHeight="false" outlineLevel="0" collapsed="false">
      <c r="B17" s="14" t="s">
        <v>195</v>
      </c>
      <c r="C17" s="30" t="n">
        <v>0.0005</v>
      </c>
    </row>
    <row r="18" customFormat="false" ht="15" hidden="false" customHeight="false" outlineLevel="0" collapsed="false">
      <c r="B18" s="14" t="s">
        <v>196</v>
      </c>
      <c r="C18" s="31" t="n">
        <v>1.645</v>
      </c>
      <c r="D18" s="6" t="s">
        <v>197</v>
      </c>
    </row>
    <row r="19" customFormat="false" ht="15" hidden="false" customHeight="false" outlineLevel="0" collapsed="false">
      <c r="B19" s="14" t="s">
        <v>198</v>
      </c>
      <c r="C19" s="31" t="n">
        <v>2.326</v>
      </c>
      <c r="D19" s="6" t="s">
        <v>199</v>
      </c>
    </row>
    <row r="20" customFormat="false" ht="15" hidden="false" customHeight="false" outlineLevel="0" collapsed="false">
      <c r="B20" s="14" t="s">
        <v>200</v>
      </c>
      <c r="C20" s="32" t="n">
        <v>10</v>
      </c>
    </row>
    <row r="22" customFormat="false" ht="15" hidden="false" customHeight="false" outlineLevel="0" collapsed="false">
      <c r="B22" s="33" t="s">
        <v>201</v>
      </c>
      <c r="C22" s="34"/>
      <c r="D22" s="34"/>
      <c r="E22" s="34"/>
      <c r="F22" s="34"/>
      <c r="G22" s="34"/>
      <c r="H22" s="34"/>
      <c r="I22" s="34"/>
    </row>
    <row r="23" customFormat="false" ht="15" hidden="false" customHeight="false" outlineLevel="0" collapsed="false">
      <c r="B23" s="14" t="s">
        <v>202</v>
      </c>
      <c r="C23" s="35"/>
    </row>
    <row r="24" customFormat="false" ht="15" hidden="false" customHeight="false" outlineLevel="0" collapsed="false">
      <c r="B24" s="14" t="s">
        <v>203</v>
      </c>
      <c r="C24" s="35"/>
    </row>
    <row r="25" customFormat="false" ht="15" hidden="false" customHeight="false" outlineLevel="0" collapsed="false">
      <c r="B25" s="14" t="s">
        <v>204</v>
      </c>
      <c r="C25" s="35"/>
    </row>
    <row r="26" customFormat="false" ht="15" hidden="false" customHeight="false" outlineLevel="0" collapsed="false">
      <c r="B26" s="14" t="s">
        <v>205</v>
      </c>
      <c r="C26" s="35"/>
    </row>
    <row r="27" customFormat="false" ht="15" hidden="false" customHeight="false" outlineLevel="0" collapsed="false">
      <c r="B27" s="14" t="s">
        <v>206</v>
      </c>
      <c r="C27" s="36"/>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207</v>
      </c>
      <c r="I1" s="17" t="s">
        <v>126</v>
      </c>
    </row>
    <row r="2" customFormat="false" ht="15" hidden="false" customHeight="false" outlineLevel="0" collapsed="false">
      <c r="B2" s="28" t="s">
        <v>208</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209</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210</v>
      </c>
      <c r="C8" s="20"/>
      <c r="D8" s="20"/>
      <c r="E8" s="20"/>
      <c r="F8" s="20"/>
      <c r="G8" s="20"/>
      <c r="H8" s="20"/>
      <c r="I8" s="20"/>
    </row>
    <row r="9" customFormat="false" ht="16.5" hidden="false" customHeight="true" outlineLevel="0" collapsed="false">
      <c r="B9" s="20" t="s">
        <v>211</v>
      </c>
      <c r="C9" s="20"/>
      <c r="D9" s="20"/>
      <c r="E9" s="20"/>
      <c r="F9" s="20"/>
      <c r="G9" s="20"/>
      <c r="H9" s="20"/>
      <c r="I9" s="20"/>
    </row>
    <row r="10" customFormat="false" ht="16.5" hidden="false" customHeight="true" outlineLevel="0" collapsed="false">
      <c r="B10" s="20" t="s">
        <v>212</v>
      </c>
      <c r="C10" s="20"/>
      <c r="D10" s="20"/>
      <c r="E10" s="20"/>
      <c r="F10" s="20"/>
      <c r="G10" s="20"/>
      <c r="H10" s="20"/>
      <c r="I10" s="20"/>
    </row>
    <row r="11" customFormat="false" ht="16.5" hidden="false" customHeight="true" outlineLevel="0" collapsed="false">
      <c r="B11" s="20" t="s">
        <v>213</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214</v>
      </c>
      <c r="C15" s="29" t="n">
        <v>60</v>
      </c>
    </row>
    <row r="16" customFormat="false" ht="15" hidden="false" customHeight="false" outlineLevel="0" collapsed="false">
      <c r="B16" s="14" t="s">
        <v>215</v>
      </c>
      <c r="C16" s="30" t="n">
        <v>0.014</v>
      </c>
    </row>
    <row r="17" customFormat="false" ht="15" hidden="false" customHeight="false" outlineLevel="0" collapsed="false">
      <c r="B17" s="14" t="s">
        <v>216</v>
      </c>
      <c r="C17" s="29" t="n">
        <v>40</v>
      </c>
    </row>
    <row r="18" customFormat="false" ht="15" hidden="false" customHeight="false" outlineLevel="0" collapsed="false">
      <c r="B18" s="14" t="s">
        <v>217</v>
      </c>
      <c r="C18" s="30" t="n">
        <v>0.009</v>
      </c>
    </row>
    <row r="19" customFormat="false" ht="15" hidden="false" customHeight="false" outlineLevel="0" collapsed="false">
      <c r="B19" s="14" t="s">
        <v>218</v>
      </c>
      <c r="C19" s="29" t="n">
        <v>-0.1</v>
      </c>
    </row>
    <row r="20" customFormat="false" ht="15" hidden="false" customHeight="false" outlineLevel="0" collapsed="false">
      <c r="B20" s="14" t="s">
        <v>219</v>
      </c>
      <c r="C20" s="29" t="n">
        <v>0.5</v>
      </c>
    </row>
    <row r="21" customFormat="false" ht="15" hidden="false" customHeight="false" outlineLevel="0" collapsed="false">
      <c r="B21" s="14" t="s">
        <v>220</v>
      </c>
      <c r="C21" s="29" t="n">
        <v>1</v>
      </c>
    </row>
    <row r="22" customFormat="false" ht="15" hidden="false" customHeight="false" outlineLevel="0" collapsed="false">
      <c r="B22" s="14" t="s">
        <v>198</v>
      </c>
      <c r="C22" s="31" t="n">
        <v>2.326</v>
      </c>
    </row>
    <row r="24" customFormat="false" ht="15" hidden="false" customHeight="false" outlineLevel="0" collapsed="false">
      <c r="B24" s="33" t="s">
        <v>201</v>
      </c>
      <c r="C24" s="34"/>
      <c r="D24" s="34"/>
      <c r="E24" s="34"/>
      <c r="F24" s="34"/>
      <c r="G24" s="34"/>
      <c r="H24" s="34"/>
      <c r="I24" s="34"/>
    </row>
    <row r="25" customFormat="false" ht="15" hidden="false" customHeight="false" outlineLevel="0" collapsed="false">
      <c r="B25" s="14" t="s">
        <v>221</v>
      </c>
      <c r="C25" s="35"/>
    </row>
    <row r="26" customFormat="false" ht="15" hidden="false" customHeight="false" outlineLevel="0" collapsed="false">
      <c r="B26" s="14" t="s">
        <v>222</v>
      </c>
      <c r="C26" s="35"/>
    </row>
    <row r="27" customFormat="false" ht="15" hidden="false" customHeight="false" outlineLevel="0" collapsed="false">
      <c r="B27" s="14" t="s">
        <v>223</v>
      </c>
      <c r="C27" s="35"/>
    </row>
    <row r="28" customFormat="false" ht="15" hidden="false" customHeight="false" outlineLevel="0" collapsed="false">
      <c r="B28" s="22" t="s">
        <v>224</v>
      </c>
      <c r="C28" s="35"/>
    </row>
    <row r="29" customFormat="false" ht="15" hidden="false" customHeight="false" outlineLevel="0" collapsed="false">
      <c r="B29" s="14" t="s">
        <v>225</v>
      </c>
      <c r="C29" s="35"/>
    </row>
    <row r="30" customFormat="false" ht="15" hidden="false" customHeight="false" outlineLevel="0" collapsed="false">
      <c r="B30" s="14" t="s">
        <v>226</v>
      </c>
      <c r="C30" s="36"/>
    </row>
    <row r="31" customFormat="false" ht="15" hidden="false" customHeight="false" outlineLevel="0" collapsed="false">
      <c r="B31" s="14" t="s">
        <v>227</v>
      </c>
      <c r="C31" s="35"/>
    </row>
    <row r="32" customFormat="false" ht="15" hidden="false" customHeight="false" outlineLevel="0" collapsed="false">
      <c r="B32" s="14" t="s">
        <v>228</v>
      </c>
      <c r="C32" s="35"/>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229</v>
      </c>
      <c r="I1" s="17" t="s">
        <v>126</v>
      </c>
    </row>
    <row r="2" customFormat="false" ht="15" hidden="false" customHeight="false" outlineLevel="0" collapsed="false">
      <c r="B2" s="28" t="s">
        <v>230</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231</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232</v>
      </c>
      <c r="C8" s="20"/>
      <c r="D8" s="20"/>
      <c r="E8" s="20"/>
      <c r="F8" s="20"/>
      <c r="G8" s="20"/>
      <c r="H8" s="20"/>
      <c r="I8" s="20"/>
    </row>
    <row r="9" customFormat="false" ht="16.5" hidden="false" customHeight="true" outlineLevel="0" collapsed="false">
      <c r="B9" s="20" t="s">
        <v>233</v>
      </c>
      <c r="C9" s="20"/>
      <c r="D9" s="20"/>
      <c r="E9" s="20"/>
      <c r="F9" s="20"/>
      <c r="G9" s="20"/>
      <c r="H9" s="20"/>
      <c r="I9" s="20"/>
    </row>
    <row r="10" customFormat="false" ht="16.5" hidden="false" customHeight="true" outlineLevel="0" collapsed="false">
      <c r="B10" s="20" t="s">
        <v>234</v>
      </c>
      <c r="C10" s="20"/>
      <c r="D10" s="20"/>
      <c r="E10" s="20"/>
      <c r="F10" s="20"/>
      <c r="G10" s="20"/>
      <c r="H10" s="20"/>
      <c r="I10" s="20"/>
    </row>
    <row r="11" customFormat="false" ht="16.5" hidden="false" customHeight="true" outlineLevel="0" collapsed="false">
      <c r="B11" s="20" t="s">
        <v>235</v>
      </c>
      <c r="C11" s="20"/>
      <c r="D11" s="20"/>
      <c r="E11" s="20"/>
      <c r="F11" s="20"/>
      <c r="G11" s="20"/>
      <c r="H11" s="20"/>
      <c r="I11" s="20"/>
    </row>
    <row r="12" customFormat="false" ht="16.5" hidden="false" customHeight="true" outlineLevel="0" collapsed="false">
      <c r="B12" s="20" t="s">
        <v>236</v>
      </c>
      <c r="C12" s="20"/>
      <c r="D12" s="20"/>
      <c r="E12" s="20"/>
      <c r="F12" s="20"/>
      <c r="G12" s="20"/>
      <c r="H12" s="20"/>
      <c r="I12" s="20"/>
    </row>
    <row r="14" customFormat="false" ht="15" hidden="false" customHeight="false" outlineLevel="0" collapsed="false">
      <c r="B14" s="18" t="s">
        <v>189</v>
      </c>
      <c r="C14" s="19"/>
      <c r="D14" s="19"/>
      <c r="E14" s="19"/>
      <c r="F14" s="19"/>
      <c r="G14" s="19"/>
      <c r="H14" s="19"/>
      <c r="I14" s="19"/>
    </row>
    <row r="15" customFormat="false" ht="15" hidden="false" customHeight="false" outlineLevel="0" collapsed="false">
      <c r="B15" s="11" t="s">
        <v>190</v>
      </c>
      <c r="C15" s="21" t="s">
        <v>191</v>
      </c>
    </row>
    <row r="16" customFormat="false" ht="15" hidden="false" customHeight="false" outlineLevel="0" collapsed="false">
      <c r="B16" s="14" t="s">
        <v>193</v>
      </c>
      <c r="C16" s="29" t="n">
        <v>80</v>
      </c>
    </row>
    <row r="17" customFormat="false" ht="15" hidden="false" customHeight="false" outlineLevel="0" collapsed="false">
      <c r="B17" s="14" t="s">
        <v>237</v>
      </c>
      <c r="C17" s="32" t="n">
        <v>5</v>
      </c>
    </row>
    <row r="18" customFormat="false" ht="15" hidden="false" customHeight="false" outlineLevel="0" collapsed="false">
      <c r="B18" s="14" t="s">
        <v>238</v>
      </c>
      <c r="C18" s="32" t="n">
        <v>12</v>
      </c>
    </row>
    <row r="19" customFormat="false" ht="15" hidden="false" customHeight="false" outlineLevel="0" collapsed="false">
      <c r="B19" s="14" t="s">
        <v>239</v>
      </c>
      <c r="C19" s="30" t="n">
        <v>0.015</v>
      </c>
    </row>
    <row r="20" customFormat="false" ht="15" hidden="false" customHeight="false" outlineLevel="0" collapsed="false">
      <c r="B20" s="14" t="s">
        <v>198</v>
      </c>
      <c r="C20" s="31" t="n">
        <v>2.326</v>
      </c>
    </row>
    <row r="22" customFormat="false" ht="15" hidden="false" customHeight="false" outlineLevel="0" collapsed="false">
      <c r="B22" s="11" t="s">
        <v>240</v>
      </c>
      <c r="C22" s="21" t="s">
        <v>241</v>
      </c>
    </row>
    <row r="23" customFormat="false" ht="15" hidden="false" customHeight="false" outlineLevel="0" collapsed="false">
      <c r="B23" s="37" t="n">
        <v>1</v>
      </c>
      <c r="C23" s="38" t="n">
        <v>-0.0685</v>
      </c>
    </row>
    <row r="24" customFormat="false" ht="15" hidden="false" customHeight="false" outlineLevel="0" collapsed="false">
      <c r="B24" s="37" t="n">
        <v>2</v>
      </c>
      <c r="C24" s="38" t="n">
        <v>-0.0592</v>
      </c>
    </row>
    <row r="25" customFormat="false" ht="15" hidden="false" customHeight="false" outlineLevel="0" collapsed="false">
      <c r="B25" s="37" t="n">
        <v>3</v>
      </c>
      <c r="C25" s="38" t="n">
        <v>-0.051</v>
      </c>
    </row>
    <row r="26" customFormat="false" ht="15" hidden="false" customHeight="false" outlineLevel="0" collapsed="false">
      <c r="B26" s="37" t="n">
        <v>4</v>
      </c>
      <c r="C26" s="38" t="n">
        <v>-0.0478</v>
      </c>
    </row>
    <row r="27" customFormat="false" ht="15" hidden="false" customHeight="false" outlineLevel="0" collapsed="false">
      <c r="B27" s="37" t="n">
        <v>5</v>
      </c>
      <c r="C27" s="38" t="n">
        <v>-0.0441</v>
      </c>
    </row>
    <row r="28" customFormat="false" ht="15" hidden="false" customHeight="false" outlineLevel="0" collapsed="false">
      <c r="B28" s="37" t="n">
        <v>6</v>
      </c>
      <c r="C28" s="38" t="n">
        <v>-0.0405</v>
      </c>
    </row>
    <row r="29" customFormat="false" ht="15" hidden="false" customHeight="false" outlineLevel="0" collapsed="false">
      <c r="B29" s="37" t="n">
        <v>7</v>
      </c>
      <c r="C29" s="38" t="n">
        <v>-0.0388</v>
      </c>
    </row>
    <row r="30" customFormat="false" ht="15" hidden="false" customHeight="false" outlineLevel="0" collapsed="false">
      <c r="B30" s="37" t="n">
        <v>8</v>
      </c>
      <c r="C30" s="38" t="n">
        <v>-0.0362</v>
      </c>
    </row>
    <row r="31" customFormat="false" ht="15" hidden="false" customHeight="false" outlineLevel="0" collapsed="false">
      <c r="B31" s="37" t="n">
        <v>9</v>
      </c>
      <c r="C31" s="38" t="n">
        <v>-0.0345</v>
      </c>
    </row>
    <row r="32" customFormat="false" ht="15" hidden="false" customHeight="false" outlineLevel="0" collapsed="false">
      <c r="B32" s="37" t="n">
        <v>10</v>
      </c>
      <c r="C32" s="38" t="n">
        <v>-0.0331</v>
      </c>
    </row>
    <row r="33" customFormat="false" ht="15" hidden="false" customHeight="false" outlineLevel="0" collapsed="false">
      <c r="B33" s="37" t="n">
        <v>11</v>
      </c>
      <c r="C33" s="38" t="n">
        <v>-0.032</v>
      </c>
    </row>
    <row r="34" customFormat="false" ht="15" hidden="false" customHeight="false" outlineLevel="0" collapsed="false">
      <c r="B34" s="37" t="n">
        <v>12</v>
      </c>
      <c r="C34" s="38" t="n">
        <v>-0.0312</v>
      </c>
    </row>
    <row r="35" customFormat="false" ht="15" hidden="false" customHeight="false" outlineLevel="0" collapsed="false">
      <c r="B35" s="37" t="n">
        <v>13</v>
      </c>
      <c r="C35" s="38" t="n">
        <v>-0.0302</v>
      </c>
    </row>
    <row r="36" customFormat="false" ht="15" hidden="false" customHeight="false" outlineLevel="0" collapsed="false">
      <c r="B36" s="37" t="n">
        <v>14</v>
      </c>
      <c r="C36" s="38" t="n">
        <v>-0.0295</v>
      </c>
    </row>
    <row r="37" customFormat="false" ht="15" hidden="false" customHeight="false" outlineLevel="0" collapsed="false">
      <c r="B37" s="37" t="n">
        <v>15</v>
      </c>
      <c r="C37" s="38" t="n">
        <v>-0.0288</v>
      </c>
    </row>
    <row r="39" customFormat="false" ht="15" hidden="false" customHeight="false" outlineLevel="0" collapsed="false">
      <c r="B39" s="33" t="s">
        <v>201</v>
      </c>
      <c r="C39" s="34"/>
      <c r="D39" s="34"/>
      <c r="E39" s="34"/>
      <c r="F39" s="34"/>
      <c r="G39" s="34"/>
      <c r="H39" s="34"/>
      <c r="I39" s="34"/>
    </row>
    <row r="40" customFormat="false" ht="15" hidden="false" customHeight="false" outlineLevel="0" collapsed="false">
      <c r="B40" s="14" t="s">
        <v>242</v>
      </c>
      <c r="C40" s="36"/>
    </row>
    <row r="41" customFormat="false" ht="15" hidden="false" customHeight="false" outlineLevel="0" collapsed="false">
      <c r="B41" s="22" t="s">
        <v>243</v>
      </c>
      <c r="C41" s="35"/>
    </row>
    <row r="42" customFormat="false" ht="15" hidden="false" customHeight="false" outlineLevel="0" collapsed="false">
      <c r="B42" s="14" t="s">
        <v>244</v>
      </c>
      <c r="C42" s="36"/>
    </row>
    <row r="43" customFormat="false" ht="15" hidden="false" customHeight="false" outlineLevel="0" collapsed="false">
      <c r="B43" s="14" t="s">
        <v>245</v>
      </c>
      <c r="C43" s="35"/>
    </row>
    <row r="44" customFormat="false" ht="15" hidden="false" customHeight="false" outlineLevel="0" collapsed="false">
      <c r="B44" s="14" t="s">
        <v>246</v>
      </c>
      <c r="C44" s="36"/>
    </row>
    <row r="45" customFormat="false" ht="15" hidden="false" customHeight="false" outlineLevel="0" collapsed="false">
      <c r="B45" s="14" t="s">
        <v>247</v>
      </c>
      <c r="C45" s="35"/>
    </row>
    <row r="46" customFormat="false" ht="15" hidden="false" customHeight="false" outlineLevel="0" collapsed="false">
      <c r="B46" s="14" t="s">
        <v>248</v>
      </c>
      <c r="C46" s="36"/>
    </row>
    <row r="47" customFormat="false" ht="15" hidden="false" customHeight="false" outlineLevel="0" collapsed="false">
      <c r="B47" s="14" t="s">
        <v>249</v>
      </c>
      <c r="C47" s="35"/>
    </row>
    <row r="48" customFormat="false" ht="15" hidden="false" customHeight="false" outlineLevel="0" collapsed="false">
      <c r="B48" s="14" t="s">
        <v>250</v>
      </c>
      <c r="C48" s="35"/>
    </row>
    <row r="50" customFormat="false" ht="15" hidden="false" customHeight="false" outlineLevel="0" collapsed="false">
      <c r="B50" s="39" t="s">
        <v>251</v>
      </c>
      <c r="C50" s="40"/>
      <c r="D50" s="40"/>
      <c r="E50" s="40"/>
      <c r="F50" s="40"/>
      <c r="G50" s="40"/>
      <c r="H50" s="40"/>
      <c r="I50" s="40"/>
    </row>
    <row r="51" customFormat="false" ht="16.5" hidden="false" customHeight="true" outlineLevel="0" collapsed="false">
      <c r="B51" s="24" t="s">
        <v>252</v>
      </c>
      <c r="C51" s="24"/>
      <c r="D51" s="24"/>
      <c r="E51" s="24"/>
      <c r="F51" s="24"/>
      <c r="G51" s="24"/>
      <c r="H51" s="24"/>
      <c r="I51" s="24"/>
    </row>
  </sheetData>
  <mergeCells count="7">
    <mergeCell ref="B5:I5"/>
    <mergeCell ref="B8:I8"/>
    <mergeCell ref="B9:I9"/>
    <mergeCell ref="B10:I10"/>
    <mergeCell ref="B11:I11"/>
    <mergeCell ref="B12:I12"/>
    <mergeCell ref="B51:I5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253</v>
      </c>
      <c r="I1" s="17" t="s">
        <v>126</v>
      </c>
    </row>
    <row r="2" customFormat="false" ht="15" hidden="false" customHeight="false" outlineLevel="0" collapsed="false">
      <c r="B2" s="28" t="s">
        <v>254</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255</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256</v>
      </c>
      <c r="C8" s="20"/>
      <c r="D8" s="20"/>
      <c r="E8" s="20"/>
      <c r="F8" s="20"/>
      <c r="G8" s="20"/>
      <c r="H8" s="20"/>
      <c r="I8" s="20"/>
    </row>
    <row r="9" customFormat="false" ht="16.5" hidden="false" customHeight="true" outlineLevel="0" collapsed="false">
      <c r="B9" s="20" t="s">
        <v>257</v>
      </c>
      <c r="C9" s="20"/>
      <c r="D9" s="20"/>
      <c r="E9" s="20"/>
      <c r="F9" s="20"/>
      <c r="G9" s="20"/>
      <c r="H9" s="20"/>
      <c r="I9" s="20"/>
    </row>
    <row r="10" customFormat="false" ht="16.5" hidden="false" customHeight="true" outlineLevel="0" collapsed="false">
      <c r="B10" s="20" t="s">
        <v>258</v>
      </c>
      <c r="C10" s="20"/>
      <c r="D10" s="20"/>
      <c r="E10" s="20"/>
      <c r="F10" s="20"/>
      <c r="G10" s="20"/>
      <c r="H10" s="20"/>
      <c r="I10" s="20"/>
    </row>
    <row r="11" customFormat="false" ht="16.5" hidden="false" customHeight="true" outlineLevel="0" collapsed="false">
      <c r="B11" s="20" t="s">
        <v>259</v>
      </c>
      <c r="C11" s="20"/>
      <c r="D11" s="20"/>
      <c r="E11" s="20"/>
      <c r="F11" s="20"/>
      <c r="G11" s="20"/>
      <c r="H11" s="20"/>
      <c r="I11" s="20"/>
    </row>
    <row r="12" customFormat="false" ht="16.5" hidden="false" customHeight="true" outlineLevel="0" collapsed="false">
      <c r="B12" s="20" t="s">
        <v>260</v>
      </c>
      <c r="C12" s="20"/>
      <c r="D12" s="20"/>
      <c r="E12" s="20"/>
      <c r="F12" s="20"/>
      <c r="G12" s="20"/>
      <c r="H12" s="20"/>
      <c r="I12" s="20"/>
    </row>
    <row r="14" customFormat="false" ht="15" hidden="false" customHeight="false" outlineLevel="0" collapsed="false">
      <c r="B14" s="18" t="s">
        <v>189</v>
      </c>
      <c r="C14" s="19"/>
      <c r="D14" s="19"/>
      <c r="E14" s="19"/>
      <c r="F14" s="19"/>
      <c r="G14" s="19"/>
      <c r="H14" s="19"/>
      <c r="I14" s="19"/>
    </row>
    <row r="15" customFormat="false" ht="15" hidden="false" customHeight="false" outlineLevel="0" collapsed="false">
      <c r="B15" s="11" t="s">
        <v>190</v>
      </c>
      <c r="C15" s="21" t="s">
        <v>191</v>
      </c>
    </row>
    <row r="16" customFormat="false" ht="15" hidden="false" customHeight="false" outlineLevel="0" collapsed="false">
      <c r="B16" s="14" t="s">
        <v>261</v>
      </c>
      <c r="C16" s="32" t="n">
        <v>250</v>
      </c>
    </row>
    <row r="17" customFormat="false" ht="15" hidden="false" customHeight="false" outlineLevel="0" collapsed="false">
      <c r="B17" s="14" t="s">
        <v>262</v>
      </c>
      <c r="C17" s="32" t="n">
        <v>8</v>
      </c>
    </row>
    <row r="18" customFormat="false" ht="15" hidden="false" customHeight="false" outlineLevel="0" collapsed="false">
      <c r="B18" s="14" t="s">
        <v>263</v>
      </c>
      <c r="C18" s="30" t="n">
        <v>0.01</v>
      </c>
    </row>
    <row r="19" customFormat="false" ht="15" hidden="false" customHeight="false" outlineLevel="0" collapsed="false">
      <c r="B19" s="14" t="s">
        <v>264</v>
      </c>
      <c r="C19" s="29" t="n">
        <v>15</v>
      </c>
    </row>
    <row r="20" customFormat="false" ht="15" hidden="false" customHeight="false" outlineLevel="0" collapsed="false">
      <c r="B20" s="14" t="s">
        <v>265</v>
      </c>
      <c r="C20" s="29" t="n">
        <v>3</v>
      </c>
    </row>
    <row r="22" customFormat="false" ht="15" hidden="false" customHeight="false" outlineLevel="0" collapsed="false">
      <c r="B22" s="11" t="s">
        <v>266</v>
      </c>
      <c r="C22" s="21" t="s">
        <v>267</v>
      </c>
    </row>
    <row r="23" customFormat="false" ht="15" hidden="false" customHeight="false" outlineLevel="0" collapsed="false">
      <c r="B23" s="41" t="n">
        <v>5</v>
      </c>
      <c r="C23" s="42" t="n">
        <v>0.4</v>
      </c>
    </row>
    <row r="24" customFormat="false" ht="15" hidden="false" customHeight="false" outlineLevel="0" collapsed="false">
      <c r="B24" s="41" t="n">
        <v>6</v>
      </c>
      <c r="C24" s="42" t="n">
        <v>0.5</v>
      </c>
    </row>
    <row r="25" customFormat="false" ht="15" hidden="false" customHeight="false" outlineLevel="0" collapsed="false">
      <c r="B25" s="41" t="n">
        <v>7</v>
      </c>
      <c r="C25" s="42" t="n">
        <v>0.65</v>
      </c>
    </row>
    <row r="26" customFormat="false" ht="15" hidden="false" customHeight="false" outlineLevel="0" collapsed="false">
      <c r="B26" s="41" t="n">
        <v>8</v>
      </c>
      <c r="C26" s="42" t="n">
        <v>0.75</v>
      </c>
    </row>
    <row r="27" customFormat="false" ht="15" hidden="false" customHeight="false" outlineLevel="0" collapsed="false">
      <c r="B27" s="41" t="n">
        <v>9</v>
      </c>
      <c r="C27" s="42" t="n">
        <v>0.85</v>
      </c>
    </row>
    <row r="28" customFormat="false" ht="16.5" hidden="false" customHeight="true" outlineLevel="0" collapsed="false">
      <c r="B28" s="24" t="s">
        <v>268</v>
      </c>
      <c r="C28" s="24"/>
      <c r="D28" s="24"/>
      <c r="E28" s="24"/>
      <c r="F28" s="24"/>
      <c r="G28" s="24"/>
      <c r="H28" s="24"/>
      <c r="I28" s="24"/>
    </row>
    <row r="30" customFormat="false" ht="15" hidden="false" customHeight="false" outlineLevel="0" collapsed="false">
      <c r="B30" s="33" t="s">
        <v>201</v>
      </c>
      <c r="C30" s="34"/>
      <c r="D30" s="34"/>
      <c r="E30" s="34"/>
      <c r="F30" s="34"/>
      <c r="G30" s="34"/>
      <c r="H30" s="34"/>
      <c r="I30" s="34"/>
    </row>
    <row r="31" customFormat="false" ht="15" hidden="false" customHeight="false" outlineLevel="0" collapsed="false">
      <c r="B31" s="14" t="s">
        <v>269</v>
      </c>
      <c r="C31" s="43"/>
    </row>
    <row r="32" customFormat="false" ht="15" hidden="false" customHeight="false" outlineLevel="0" collapsed="false">
      <c r="B32" s="14" t="s">
        <v>270</v>
      </c>
      <c r="C32" s="44"/>
    </row>
    <row r="33" customFormat="false" ht="15" hidden="false" customHeight="false" outlineLevel="0" collapsed="false">
      <c r="B33" s="14" t="s">
        <v>271</v>
      </c>
      <c r="C33" s="45"/>
    </row>
    <row r="34" customFormat="false" ht="15" hidden="false" customHeight="false" outlineLevel="0" collapsed="false">
      <c r="B34" s="14" t="s">
        <v>267</v>
      </c>
      <c r="C34" s="43"/>
    </row>
    <row r="35" customFormat="false" ht="15" hidden="false" customHeight="false" outlineLevel="0" collapsed="false">
      <c r="B35" s="14" t="s">
        <v>272</v>
      </c>
      <c r="C35" s="43"/>
    </row>
    <row r="36" customFormat="false" ht="15" hidden="false" customHeight="false" outlineLevel="0" collapsed="false">
      <c r="B36" s="22" t="s">
        <v>273</v>
      </c>
      <c r="C36" s="35"/>
    </row>
    <row r="37" customFormat="false" ht="15" hidden="false" customHeight="false" outlineLevel="0" collapsed="false">
      <c r="B37" s="14" t="s">
        <v>274</v>
      </c>
      <c r="C37" s="35"/>
    </row>
    <row r="38" customFormat="false" ht="15" hidden="false" customHeight="false" outlineLevel="0" collapsed="false">
      <c r="B38" s="14" t="s">
        <v>275</v>
      </c>
      <c r="C38" s="35"/>
    </row>
  </sheetData>
  <mergeCells count="7">
    <mergeCell ref="B5:I5"/>
    <mergeCell ref="B8:I8"/>
    <mergeCell ref="B9:I9"/>
    <mergeCell ref="B10:I10"/>
    <mergeCell ref="B11:I11"/>
    <mergeCell ref="B12:I12"/>
    <mergeCell ref="B28:I28"/>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276</v>
      </c>
      <c r="I1" s="17" t="s">
        <v>126</v>
      </c>
    </row>
    <row r="2" customFormat="false" ht="15" hidden="false" customHeight="false" outlineLevel="0" collapsed="false">
      <c r="B2" s="28" t="s">
        <v>277</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278</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279</v>
      </c>
      <c r="C8" s="20"/>
      <c r="D8" s="20"/>
      <c r="E8" s="20"/>
      <c r="F8" s="20"/>
      <c r="G8" s="20"/>
      <c r="H8" s="20"/>
      <c r="I8" s="20"/>
    </row>
    <row r="9" customFormat="false" ht="16.5" hidden="false" customHeight="true" outlineLevel="0" collapsed="false">
      <c r="B9" s="20" t="s">
        <v>280</v>
      </c>
      <c r="C9" s="20"/>
      <c r="D9" s="20"/>
      <c r="E9" s="20"/>
      <c r="F9" s="20"/>
      <c r="G9" s="20"/>
      <c r="H9" s="20"/>
      <c r="I9" s="20"/>
    </row>
    <row r="10" customFormat="false" ht="16.5" hidden="false" customHeight="true" outlineLevel="0" collapsed="false">
      <c r="B10" s="20" t="s">
        <v>281</v>
      </c>
      <c r="C10" s="20"/>
      <c r="D10" s="20"/>
      <c r="E10" s="20"/>
      <c r="F10" s="20"/>
      <c r="G10" s="20"/>
      <c r="H10" s="20"/>
      <c r="I10" s="20"/>
    </row>
    <row r="11" customFormat="false" ht="16.5" hidden="false" customHeight="true" outlineLevel="0" collapsed="false">
      <c r="B11" s="20" t="s">
        <v>282</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283</v>
      </c>
      <c r="C15" s="29" t="n">
        <v>200</v>
      </c>
    </row>
    <row r="16" customFormat="false" ht="15" hidden="false" customHeight="false" outlineLevel="0" collapsed="false">
      <c r="B16" s="14" t="s">
        <v>284</v>
      </c>
      <c r="C16" s="29" t="n">
        <v>6.5</v>
      </c>
    </row>
    <row r="17" customFormat="false" ht="15" hidden="false" customHeight="false" outlineLevel="0" collapsed="false">
      <c r="B17" s="14" t="s">
        <v>285</v>
      </c>
      <c r="C17" s="30" t="n">
        <v>0.0006</v>
      </c>
    </row>
    <row r="18" customFormat="false" ht="15" hidden="false" customHeight="false" outlineLevel="0" collapsed="false">
      <c r="B18" s="14" t="s">
        <v>198</v>
      </c>
      <c r="C18" s="31" t="n">
        <v>2.326</v>
      </c>
    </row>
    <row r="19" customFormat="false" ht="15" hidden="false" customHeight="false" outlineLevel="0" collapsed="false">
      <c r="B19" s="14" t="s">
        <v>200</v>
      </c>
      <c r="C19" s="32" t="n">
        <v>10</v>
      </c>
    </row>
    <row r="20" customFormat="false" ht="15" hidden="false" customHeight="false" outlineLevel="0" collapsed="false">
      <c r="B20" s="14" t="s">
        <v>286</v>
      </c>
      <c r="C20" s="31" t="n">
        <v>0.0001</v>
      </c>
    </row>
    <row r="22" customFormat="false" ht="15" hidden="false" customHeight="false" outlineLevel="0" collapsed="false">
      <c r="B22" s="33" t="s">
        <v>201</v>
      </c>
      <c r="C22" s="34"/>
      <c r="D22" s="34"/>
      <c r="E22" s="34"/>
      <c r="F22" s="34"/>
      <c r="G22" s="34"/>
      <c r="H22" s="34"/>
      <c r="I22" s="34"/>
    </row>
    <row r="23" customFormat="false" ht="15" hidden="false" customHeight="false" outlineLevel="0" collapsed="false">
      <c r="B23" s="14" t="s">
        <v>287</v>
      </c>
      <c r="C23" s="35"/>
    </row>
    <row r="24" customFormat="false" ht="15" hidden="false" customHeight="false" outlineLevel="0" collapsed="false">
      <c r="B24" s="14" t="s">
        <v>288</v>
      </c>
      <c r="C24" s="43"/>
    </row>
    <row r="25" customFormat="false" ht="15" hidden="false" customHeight="false" outlineLevel="0" collapsed="false">
      <c r="B25" s="22" t="s">
        <v>203</v>
      </c>
      <c r="C25" s="35"/>
    </row>
    <row r="26" customFormat="false" ht="15" hidden="false" customHeight="false" outlineLevel="0" collapsed="false">
      <c r="B26" s="14" t="s">
        <v>204</v>
      </c>
      <c r="C26" s="35"/>
    </row>
    <row r="27" customFormat="false" ht="15" hidden="false" customHeight="false" outlineLevel="0" collapsed="false">
      <c r="B27" s="14" t="s">
        <v>289</v>
      </c>
      <c r="C27" s="43"/>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290</v>
      </c>
      <c r="I1" s="17" t="s">
        <v>126</v>
      </c>
    </row>
    <row r="2" customFormat="false" ht="15" hidden="false" customHeight="false" outlineLevel="0" collapsed="false">
      <c r="B2" s="28" t="s">
        <v>291</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292</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293</v>
      </c>
      <c r="C8" s="20"/>
      <c r="D8" s="20"/>
      <c r="E8" s="20"/>
      <c r="F8" s="20"/>
      <c r="G8" s="20"/>
      <c r="H8" s="20"/>
      <c r="I8" s="20"/>
    </row>
    <row r="9" customFormat="false" ht="16.5" hidden="false" customHeight="true" outlineLevel="0" collapsed="false">
      <c r="B9" s="20" t="s">
        <v>294</v>
      </c>
      <c r="C9" s="20"/>
      <c r="D9" s="20"/>
      <c r="E9" s="20"/>
      <c r="F9" s="20"/>
      <c r="G9" s="20"/>
      <c r="H9" s="20"/>
      <c r="I9" s="20"/>
    </row>
    <row r="10" customFormat="false" ht="16.5" hidden="false" customHeight="true" outlineLevel="0" collapsed="false">
      <c r="B10" s="20" t="s">
        <v>295</v>
      </c>
      <c r="C10" s="20"/>
      <c r="D10" s="20"/>
      <c r="E10" s="20"/>
      <c r="F10" s="20"/>
      <c r="G10" s="20"/>
      <c r="H10" s="20"/>
      <c r="I10" s="20"/>
    </row>
    <row r="11" customFormat="false" ht="16.5" hidden="false" customHeight="true" outlineLevel="0" collapsed="false">
      <c r="B11" s="20" t="s">
        <v>296</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297</v>
      </c>
      <c r="C15" s="32" t="n">
        <v>10000000</v>
      </c>
    </row>
    <row r="16" customFormat="false" ht="15" hidden="false" customHeight="false" outlineLevel="0" collapsed="false">
      <c r="B16" s="14" t="s">
        <v>298</v>
      </c>
      <c r="C16" s="29" t="n">
        <v>84</v>
      </c>
    </row>
    <row r="17" customFormat="false" ht="15" hidden="false" customHeight="false" outlineLevel="0" collapsed="false">
      <c r="B17" s="14" t="s">
        <v>299</v>
      </c>
      <c r="C17" s="30" t="n">
        <v>0.0035</v>
      </c>
    </row>
    <row r="18" customFormat="false" ht="15" hidden="false" customHeight="false" outlineLevel="0" collapsed="false">
      <c r="B18" s="14" t="s">
        <v>196</v>
      </c>
      <c r="C18" s="31" t="n">
        <v>1.645</v>
      </c>
    </row>
    <row r="19" customFormat="false" ht="15" hidden="false" customHeight="false" outlineLevel="0" collapsed="false">
      <c r="B19" s="14" t="s">
        <v>300</v>
      </c>
      <c r="C19" s="32" t="n">
        <v>10</v>
      </c>
    </row>
    <row r="20" customFormat="false" ht="15" hidden="false" customHeight="false" outlineLevel="0" collapsed="false">
      <c r="B20" s="14" t="s">
        <v>301</v>
      </c>
      <c r="C20" s="46" t="n">
        <v>0.7</v>
      </c>
    </row>
    <row r="21" customFormat="false" ht="15" hidden="false" customHeight="false" outlineLevel="0" collapsed="false">
      <c r="B21" s="14" t="s">
        <v>302</v>
      </c>
      <c r="C21" s="32" t="n">
        <v>10000000</v>
      </c>
    </row>
    <row r="23" customFormat="false" ht="15" hidden="false" customHeight="false" outlineLevel="0" collapsed="false">
      <c r="B23" s="33" t="s">
        <v>201</v>
      </c>
      <c r="C23" s="34"/>
      <c r="D23" s="34"/>
      <c r="E23" s="34"/>
      <c r="F23" s="34"/>
      <c r="G23" s="34"/>
      <c r="H23" s="34"/>
      <c r="I23" s="34"/>
    </row>
    <row r="24" customFormat="false" ht="15" hidden="false" customHeight="false" outlineLevel="0" collapsed="false">
      <c r="B24" s="14" t="s">
        <v>303</v>
      </c>
      <c r="C24" s="35"/>
    </row>
    <row r="25" customFormat="false" ht="15" hidden="false" customHeight="false" outlineLevel="0" collapsed="false">
      <c r="B25" s="14" t="s">
        <v>202</v>
      </c>
      <c r="C25" s="35"/>
    </row>
    <row r="26" customFormat="false" ht="15" hidden="false" customHeight="false" outlineLevel="0" collapsed="false">
      <c r="B26" s="22" t="s">
        <v>304</v>
      </c>
      <c r="C26" s="35"/>
    </row>
    <row r="27" customFormat="false" ht="15" hidden="false" customHeight="false" outlineLevel="0" collapsed="false">
      <c r="B27" s="14" t="s">
        <v>305</v>
      </c>
      <c r="C27" s="35"/>
    </row>
    <row r="28" customFormat="false" ht="15" hidden="false" customHeight="false" outlineLevel="0" collapsed="false">
      <c r="B28" s="14" t="s">
        <v>306</v>
      </c>
      <c r="C28" s="43"/>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307</v>
      </c>
      <c r="I1" s="17" t="s">
        <v>126</v>
      </c>
    </row>
    <row r="2" customFormat="false" ht="15" hidden="false" customHeight="false" outlineLevel="0" collapsed="false">
      <c r="B2" s="28" t="s">
        <v>308</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309</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310</v>
      </c>
      <c r="C8" s="20"/>
      <c r="D8" s="20"/>
      <c r="E8" s="20"/>
      <c r="F8" s="20"/>
      <c r="G8" s="20"/>
      <c r="H8" s="20"/>
      <c r="I8" s="20"/>
    </row>
    <row r="9" customFormat="false" ht="16.5" hidden="false" customHeight="true" outlineLevel="0" collapsed="false">
      <c r="B9" s="20" t="s">
        <v>311</v>
      </c>
      <c r="C9" s="20"/>
      <c r="D9" s="20"/>
      <c r="E9" s="20"/>
      <c r="F9" s="20"/>
      <c r="G9" s="20"/>
      <c r="H9" s="20"/>
      <c r="I9" s="20"/>
    </row>
    <row r="10" customFormat="false" ht="16.5" hidden="false" customHeight="true" outlineLevel="0" collapsed="false">
      <c r="B10" s="20" t="s">
        <v>312</v>
      </c>
      <c r="C10" s="20"/>
      <c r="D10" s="20"/>
      <c r="E10" s="20"/>
      <c r="F10" s="20"/>
      <c r="G10" s="20"/>
      <c r="H10" s="20"/>
      <c r="I10" s="20"/>
    </row>
    <row r="11" customFormat="false" ht="16.5" hidden="false" customHeight="true" outlineLevel="0" collapsed="false">
      <c r="B11" s="20" t="s">
        <v>313</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193</v>
      </c>
      <c r="C15" s="29" t="n">
        <v>100</v>
      </c>
    </row>
    <row r="16" customFormat="false" ht="15" hidden="false" customHeight="false" outlineLevel="0" collapsed="false">
      <c r="B16" s="14" t="s">
        <v>314</v>
      </c>
      <c r="C16" s="30" t="n">
        <v>0.015</v>
      </c>
    </row>
    <row r="17" customFormat="false" ht="15" hidden="false" customHeight="false" outlineLevel="0" collapsed="false">
      <c r="B17" s="14" t="s">
        <v>315</v>
      </c>
      <c r="C17" s="46" t="n">
        <v>0.975</v>
      </c>
    </row>
    <row r="18" customFormat="false" ht="15" hidden="false" customHeight="false" outlineLevel="0" collapsed="false">
      <c r="B18" s="14" t="s">
        <v>316</v>
      </c>
      <c r="C18" s="46" t="n">
        <v>0.99</v>
      </c>
    </row>
    <row r="20" customFormat="false" ht="15" hidden="false" customHeight="false" outlineLevel="0" collapsed="false">
      <c r="B20" s="33" t="s">
        <v>201</v>
      </c>
      <c r="C20" s="34"/>
      <c r="D20" s="34"/>
      <c r="E20" s="34"/>
      <c r="F20" s="34"/>
      <c r="G20" s="34"/>
      <c r="H20" s="34"/>
      <c r="I20" s="34"/>
    </row>
    <row r="21" customFormat="false" ht="15" hidden="false" customHeight="false" outlineLevel="0" collapsed="false">
      <c r="B21" s="14" t="s">
        <v>317</v>
      </c>
      <c r="C21" s="44"/>
    </row>
    <row r="22" customFormat="false" ht="15" hidden="false" customHeight="false" outlineLevel="0" collapsed="false">
      <c r="B22" s="14" t="s">
        <v>318</v>
      </c>
      <c r="C22" s="44"/>
    </row>
    <row r="23" customFormat="false" ht="15" hidden="false" customHeight="false" outlineLevel="0" collapsed="false">
      <c r="B23" s="14" t="s">
        <v>319</v>
      </c>
      <c r="C23" s="35"/>
    </row>
    <row r="24" customFormat="false" ht="15" hidden="false" customHeight="false" outlineLevel="0" collapsed="false">
      <c r="B24" s="22" t="s">
        <v>320</v>
      </c>
      <c r="C24" s="35"/>
    </row>
    <row r="25" customFormat="false" ht="15" hidden="false" customHeight="false" outlineLevel="0" collapsed="false">
      <c r="B25" s="22" t="s">
        <v>321</v>
      </c>
      <c r="C25" s="35"/>
    </row>
    <row r="26" customFormat="false" ht="15" hidden="false" customHeight="false" outlineLevel="0" collapsed="false">
      <c r="B26" s="14" t="s">
        <v>322</v>
      </c>
      <c r="C26" s="35"/>
    </row>
    <row r="27" customFormat="false" ht="15" hidden="false" customHeight="false" outlineLevel="0" collapsed="false">
      <c r="B27" s="14" t="s">
        <v>323</v>
      </c>
      <c r="C27" s="47"/>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324</v>
      </c>
      <c r="I1" s="17" t="s">
        <v>126</v>
      </c>
    </row>
    <row r="2" customFormat="false" ht="15" hidden="false" customHeight="false" outlineLevel="0" collapsed="false">
      <c r="B2" s="28" t="s">
        <v>325</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326</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327</v>
      </c>
      <c r="C8" s="20"/>
      <c r="D8" s="20"/>
      <c r="E8" s="20"/>
      <c r="F8" s="20"/>
      <c r="G8" s="20"/>
      <c r="H8" s="20"/>
      <c r="I8" s="20"/>
    </row>
    <row r="9" customFormat="false" ht="16.5" hidden="false" customHeight="true" outlineLevel="0" collapsed="false">
      <c r="B9" s="20" t="s">
        <v>328</v>
      </c>
      <c r="C9" s="20"/>
      <c r="D9" s="20"/>
      <c r="E9" s="20"/>
      <c r="F9" s="20"/>
      <c r="G9" s="20"/>
      <c r="H9" s="20"/>
      <c r="I9" s="20"/>
    </row>
    <row r="10" customFormat="false" ht="16.5" hidden="false" customHeight="true" outlineLevel="0" collapsed="false">
      <c r="B10" s="20" t="s">
        <v>329</v>
      </c>
      <c r="C10" s="20"/>
      <c r="D10" s="20"/>
      <c r="E10" s="20"/>
      <c r="F10" s="20"/>
      <c r="G10" s="20"/>
      <c r="H10" s="20"/>
      <c r="I10" s="20"/>
    </row>
    <row r="11" customFormat="false" ht="16.5" hidden="false" customHeight="true" outlineLevel="0" collapsed="false">
      <c r="B11" s="20" t="s">
        <v>330</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331</v>
      </c>
      <c r="C15" s="29" t="n">
        <v>12</v>
      </c>
    </row>
    <row r="16" customFormat="false" ht="15" hidden="false" customHeight="false" outlineLevel="0" collapsed="false">
      <c r="B16" s="14" t="s">
        <v>332</v>
      </c>
      <c r="C16" s="29" t="n">
        <v>10</v>
      </c>
    </row>
    <row r="17" customFormat="false" ht="15" hidden="false" customHeight="false" outlineLevel="0" collapsed="false">
      <c r="B17" s="14" t="s">
        <v>333</v>
      </c>
      <c r="C17" s="29" t="n">
        <v>22</v>
      </c>
    </row>
    <row r="18" customFormat="false" ht="15" hidden="false" customHeight="false" outlineLevel="0" collapsed="false">
      <c r="B18" s="14" t="s">
        <v>334</v>
      </c>
      <c r="C18" s="29" t="n">
        <v>20</v>
      </c>
    </row>
    <row r="19" customFormat="false" ht="15" hidden="false" customHeight="false" outlineLevel="0" collapsed="false">
      <c r="B19" s="14" t="s">
        <v>335</v>
      </c>
      <c r="C19" s="29" t="n">
        <v>3</v>
      </c>
    </row>
    <row r="20" customFormat="false" ht="15" hidden="false" customHeight="false" outlineLevel="0" collapsed="false">
      <c r="B20" s="14" t="s">
        <v>336</v>
      </c>
      <c r="C20" s="29" t="n">
        <v>3.5</v>
      </c>
    </row>
    <row r="21" customFormat="false" ht="15" hidden="false" customHeight="false" outlineLevel="0" collapsed="false">
      <c r="B21" s="14" t="s">
        <v>337</v>
      </c>
      <c r="C21" s="29" t="n">
        <v>12.5</v>
      </c>
    </row>
    <row r="23" customFormat="false" ht="15" hidden="false" customHeight="false" outlineLevel="0" collapsed="false">
      <c r="B23" s="33" t="s">
        <v>201</v>
      </c>
      <c r="C23" s="34"/>
      <c r="D23" s="34"/>
      <c r="E23" s="34"/>
      <c r="F23" s="34"/>
      <c r="G23" s="34"/>
      <c r="H23" s="34"/>
      <c r="I23" s="34"/>
    </row>
    <row r="24" customFormat="false" ht="15" hidden="false" customHeight="false" outlineLevel="0" collapsed="false">
      <c r="B24" s="22" t="s">
        <v>338</v>
      </c>
      <c r="C24" s="35"/>
    </row>
    <row r="25" customFormat="false" ht="15" hidden="false" customHeight="false" outlineLevel="0" collapsed="false">
      <c r="B25" s="14" t="s">
        <v>339</v>
      </c>
      <c r="C25" s="35"/>
    </row>
    <row r="26" customFormat="false" ht="15" hidden="false" customHeight="false" outlineLevel="0" collapsed="false">
      <c r="B26" s="14" t="s">
        <v>340</v>
      </c>
      <c r="C26" s="35"/>
    </row>
    <row r="27" customFormat="false" ht="15" hidden="false" customHeight="false" outlineLevel="0" collapsed="false">
      <c r="B27" s="14" t="s">
        <v>341</v>
      </c>
      <c r="C27" s="43"/>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342</v>
      </c>
      <c r="I1" s="17" t="s">
        <v>126</v>
      </c>
    </row>
    <row r="3" customFormat="false" ht="15" hidden="false" customHeight="false" outlineLevel="0" collapsed="false">
      <c r="B3" s="18" t="s">
        <v>127</v>
      </c>
      <c r="C3" s="19"/>
      <c r="D3" s="19"/>
      <c r="E3" s="19"/>
      <c r="F3" s="19"/>
      <c r="G3" s="19"/>
      <c r="H3" s="19"/>
      <c r="I3" s="19"/>
    </row>
    <row r="4" customFormat="false" ht="57" hidden="false" customHeight="true" outlineLevel="0" collapsed="false">
      <c r="B4" s="20" t="s">
        <v>343</v>
      </c>
      <c r="C4" s="20"/>
      <c r="D4" s="20"/>
      <c r="E4" s="20"/>
      <c r="F4" s="20"/>
      <c r="G4" s="20"/>
      <c r="H4" s="20"/>
      <c r="I4" s="20"/>
    </row>
    <row r="6" customFormat="false" ht="15" hidden="false" customHeight="false" outlineLevel="0" collapsed="false">
      <c r="B6" s="18" t="s">
        <v>129</v>
      </c>
      <c r="C6" s="19"/>
      <c r="D6" s="19"/>
      <c r="E6" s="19"/>
      <c r="F6" s="19"/>
      <c r="G6" s="19"/>
      <c r="H6" s="19"/>
      <c r="I6" s="19"/>
    </row>
    <row r="7" customFormat="false" ht="16.5" hidden="false" customHeight="true" outlineLevel="0" collapsed="false">
      <c r="B7" s="20" t="s">
        <v>344</v>
      </c>
      <c r="C7" s="20"/>
      <c r="D7" s="20"/>
      <c r="E7" s="20"/>
      <c r="F7" s="20"/>
      <c r="G7" s="20"/>
      <c r="H7" s="20"/>
      <c r="I7" s="20"/>
    </row>
    <row r="8" customFormat="false" ht="16.5" hidden="false" customHeight="true" outlineLevel="0" collapsed="false">
      <c r="B8" s="20" t="s">
        <v>345</v>
      </c>
      <c r="C8" s="20"/>
      <c r="D8" s="20"/>
      <c r="E8" s="20"/>
      <c r="F8" s="20"/>
      <c r="G8" s="20"/>
      <c r="H8" s="20"/>
      <c r="I8" s="20"/>
    </row>
    <row r="9" customFormat="false" ht="30" hidden="false" customHeight="true" outlineLevel="0" collapsed="false">
      <c r="B9" s="20" t="s">
        <v>346</v>
      </c>
      <c r="C9" s="20"/>
      <c r="D9" s="20"/>
      <c r="E9" s="20"/>
      <c r="F9" s="20"/>
      <c r="G9" s="20"/>
      <c r="H9" s="20"/>
      <c r="I9" s="20"/>
    </row>
    <row r="10" customFormat="false" ht="16.5" hidden="false" customHeight="true" outlineLevel="0" collapsed="false">
      <c r="B10" s="20" t="s">
        <v>347</v>
      </c>
      <c r="C10" s="20"/>
      <c r="D10" s="20"/>
      <c r="E10" s="20"/>
      <c r="F10" s="20"/>
      <c r="G10" s="20"/>
      <c r="H10" s="20"/>
      <c r="I10" s="20"/>
    </row>
    <row r="12" customFormat="false" ht="15" hidden="false" customHeight="false" outlineLevel="0" collapsed="false">
      <c r="B12" s="18" t="s">
        <v>134</v>
      </c>
      <c r="C12" s="19"/>
      <c r="D12" s="19"/>
      <c r="E12" s="19"/>
      <c r="F12" s="19"/>
      <c r="G12" s="19"/>
      <c r="H12" s="19"/>
      <c r="I12" s="19"/>
    </row>
    <row r="13" customFormat="false" ht="16.5" hidden="false" customHeight="true" outlineLevel="0" collapsed="false">
      <c r="B13" s="20" t="s">
        <v>348</v>
      </c>
      <c r="C13" s="20"/>
      <c r="D13" s="20"/>
      <c r="E13" s="20"/>
      <c r="F13" s="20"/>
      <c r="G13" s="20"/>
      <c r="H13" s="20"/>
      <c r="I13" s="20"/>
    </row>
    <row r="14" customFormat="false" ht="16.5" hidden="false" customHeight="true" outlineLevel="0" collapsed="false">
      <c r="B14" s="20" t="s">
        <v>349</v>
      </c>
      <c r="C14" s="20"/>
      <c r="D14" s="20"/>
      <c r="E14" s="20"/>
      <c r="F14" s="20"/>
      <c r="G14" s="20"/>
      <c r="H14" s="20"/>
      <c r="I14" s="20"/>
    </row>
    <row r="15" customFormat="false" ht="16.5" hidden="false" customHeight="true" outlineLevel="0" collapsed="false">
      <c r="B15" s="20" t="s">
        <v>350</v>
      </c>
      <c r="C15" s="20"/>
      <c r="D15" s="20"/>
      <c r="E15" s="20"/>
      <c r="F15" s="20"/>
      <c r="G15" s="20"/>
      <c r="H15" s="20"/>
      <c r="I15" s="20"/>
    </row>
    <row r="16" customFormat="false" ht="16.5" hidden="false" customHeight="true" outlineLevel="0" collapsed="false">
      <c r="B16" s="20" t="s">
        <v>351</v>
      </c>
      <c r="C16" s="20"/>
      <c r="D16" s="20"/>
      <c r="E16" s="20"/>
      <c r="F16" s="20"/>
      <c r="G16" s="20"/>
      <c r="H16" s="20"/>
      <c r="I16" s="20"/>
    </row>
    <row r="18" customFormat="false" ht="15" hidden="false" customHeight="false" outlineLevel="0" collapsed="false">
      <c r="B18" s="18" t="s">
        <v>139</v>
      </c>
      <c r="C18" s="19"/>
      <c r="D18" s="19"/>
      <c r="E18" s="19"/>
      <c r="F18" s="19"/>
      <c r="G18" s="19"/>
      <c r="H18" s="19"/>
      <c r="I18" s="19"/>
    </row>
    <row r="19" customFormat="false" ht="15" hidden="false" customHeight="false" outlineLevel="0" collapsed="false">
      <c r="B19" s="11" t="s">
        <v>140</v>
      </c>
      <c r="C19" s="21" t="s">
        <v>141</v>
      </c>
    </row>
    <row r="20" customFormat="false" ht="15" hidden="false" customHeight="false" outlineLevel="0" collapsed="false">
      <c r="B20" s="22" t="s">
        <v>352</v>
      </c>
      <c r="C20" s="23" t="s">
        <v>353</v>
      </c>
      <c r="D20" s="23"/>
      <c r="E20" s="23"/>
      <c r="F20" s="23"/>
      <c r="G20" s="23"/>
      <c r="H20" s="23"/>
      <c r="I20" s="23"/>
    </row>
    <row r="21" customFormat="false" ht="15" hidden="false" customHeight="false" outlineLevel="0" collapsed="false">
      <c r="B21" s="22" t="s">
        <v>284</v>
      </c>
      <c r="C21" s="23" t="s">
        <v>354</v>
      </c>
      <c r="D21" s="23"/>
      <c r="E21" s="23"/>
      <c r="F21" s="23"/>
      <c r="G21" s="23"/>
      <c r="H21" s="23"/>
      <c r="I21" s="23"/>
    </row>
    <row r="22" customFormat="false" ht="15" hidden="false" customHeight="false" outlineLevel="0" collapsed="false">
      <c r="B22" s="22" t="s">
        <v>355</v>
      </c>
      <c r="C22" s="23" t="s">
        <v>356</v>
      </c>
      <c r="D22" s="23"/>
      <c r="E22" s="23"/>
      <c r="F22" s="23"/>
      <c r="G22" s="23"/>
      <c r="H22" s="23"/>
      <c r="I22" s="23"/>
    </row>
    <row r="23" customFormat="false" ht="15" hidden="false" customHeight="false" outlineLevel="0" collapsed="false">
      <c r="B23" s="22" t="s">
        <v>357</v>
      </c>
      <c r="C23" s="23" t="s">
        <v>358</v>
      </c>
      <c r="D23" s="23"/>
      <c r="E23" s="23"/>
      <c r="F23" s="23"/>
      <c r="G23" s="23"/>
      <c r="H23" s="23"/>
      <c r="I23" s="23"/>
    </row>
    <row r="24" customFormat="false" ht="15" hidden="false" customHeight="false" outlineLevel="0" collapsed="false">
      <c r="B24" s="22" t="s">
        <v>359</v>
      </c>
      <c r="C24" s="23" t="s">
        <v>360</v>
      </c>
      <c r="D24" s="23"/>
      <c r="E24" s="23"/>
      <c r="F24" s="23"/>
      <c r="G24" s="23"/>
      <c r="H24" s="23"/>
      <c r="I24" s="23"/>
    </row>
    <row r="25" customFormat="false" ht="15" hidden="false" customHeight="false" outlineLevel="0" collapsed="false">
      <c r="B25" s="22" t="s">
        <v>361</v>
      </c>
      <c r="C25" s="23" t="s">
        <v>362</v>
      </c>
      <c r="D25" s="23"/>
      <c r="E25" s="23"/>
      <c r="F25" s="23"/>
      <c r="G25" s="23"/>
      <c r="H25" s="23"/>
      <c r="I25" s="23"/>
    </row>
    <row r="26" customFormat="false" ht="15" hidden="false" customHeight="false" outlineLevel="0" collapsed="false">
      <c r="B26" s="22" t="s">
        <v>363</v>
      </c>
      <c r="C26" s="23" t="s">
        <v>364</v>
      </c>
      <c r="D26" s="23"/>
      <c r="E26" s="23"/>
      <c r="F26" s="23"/>
      <c r="G26" s="23"/>
      <c r="H26" s="23"/>
      <c r="I26" s="23"/>
    </row>
    <row r="27" customFormat="false" ht="15" hidden="false" customHeight="false" outlineLevel="0" collapsed="false">
      <c r="B27" s="22" t="s">
        <v>365</v>
      </c>
      <c r="C27" s="23" t="s">
        <v>366</v>
      </c>
      <c r="D27" s="23"/>
      <c r="E27" s="23"/>
      <c r="F27" s="23"/>
      <c r="G27" s="23"/>
      <c r="H27" s="23"/>
      <c r="I27" s="23"/>
    </row>
    <row r="29" customFormat="false" ht="15" hidden="false" customHeight="false" outlineLevel="0" collapsed="false">
      <c r="B29" s="18" t="s">
        <v>156</v>
      </c>
      <c r="C29" s="19"/>
      <c r="D29" s="19"/>
      <c r="E29" s="19"/>
      <c r="F29" s="19"/>
      <c r="G29" s="19"/>
      <c r="H29" s="19"/>
      <c r="I29" s="19"/>
    </row>
    <row r="47" customFormat="false" ht="16.5" hidden="false" customHeight="true" outlineLevel="0" collapsed="false">
      <c r="B47" s="24" t="s">
        <v>367</v>
      </c>
      <c r="C47" s="24"/>
      <c r="D47" s="24"/>
      <c r="E47" s="24"/>
      <c r="F47" s="24"/>
      <c r="G47" s="24"/>
      <c r="H47" s="24"/>
      <c r="I47" s="24"/>
    </row>
    <row r="65" customFormat="false" ht="30" hidden="false" customHeight="true" outlineLevel="0" collapsed="false">
      <c r="B65" s="24" t="s">
        <v>368</v>
      </c>
      <c r="C65" s="24"/>
      <c r="D65" s="24"/>
      <c r="E65" s="24"/>
      <c r="F65" s="24"/>
      <c r="G65" s="24"/>
      <c r="H65" s="24"/>
      <c r="I65" s="24"/>
    </row>
    <row r="67" customFormat="false" ht="15" hidden="false" customHeight="false" outlineLevel="0" collapsed="false">
      <c r="B67" s="18" t="s">
        <v>159</v>
      </c>
      <c r="C67" s="19"/>
      <c r="D67" s="19"/>
      <c r="E67" s="19"/>
      <c r="F67" s="19"/>
      <c r="G67" s="19"/>
      <c r="H67" s="19"/>
      <c r="I67" s="19"/>
    </row>
    <row r="68" customFormat="false" ht="16.5" hidden="false" customHeight="true" outlineLevel="0" collapsed="false">
      <c r="B68" s="25" t="s">
        <v>369</v>
      </c>
      <c r="C68" s="25"/>
      <c r="D68" s="25"/>
      <c r="E68" s="25"/>
      <c r="F68" s="25"/>
      <c r="G68" s="25"/>
      <c r="H68" s="25"/>
      <c r="I68" s="25"/>
    </row>
    <row r="69" customFormat="false" ht="43.5" hidden="false" customHeight="true" outlineLevel="0" collapsed="false">
      <c r="B69" s="26" t="s">
        <v>370</v>
      </c>
      <c r="C69" s="26"/>
      <c r="D69" s="26"/>
      <c r="E69" s="26"/>
      <c r="F69" s="26"/>
      <c r="G69" s="26"/>
      <c r="H69" s="26"/>
      <c r="I69" s="26"/>
    </row>
    <row r="70" customFormat="false" ht="16.5" hidden="false" customHeight="true" outlineLevel="0" collapsed="false">
      <c r="B70" s="25" t="s">
        <v>371</v>
      </c>
      <c r="C70" s="25"/>
      <c r="D70" s="25"/>
      <c r="E70" s="25"/>
      <c r="F70" s="25"/>
      <c r="G70" s="25"/>
      <c r="H70" s="25"/>
      <c r="I70" s="25"/>
    </row>
    <row r="71" customFormat="false" ht="30" hidden="false" customHeight="true" outlineLevel="0" collapsed="false">
      <c r="B71" s="26" t="s">
        <v>372</v>
      </c>
      <c r="C71" s="26"/>
      <c r="D71" s="26"/>
      <c r="E71" s="26"/>
      <c r="F71" s="26"/>
      <c r="G71" s="26"/>
      <c r="H71" s="26"/>
      <c r="I71" s="26"/>
    </row>
    <row r="72" customFormat="false" ht="16.5" hidden="false" customHeight="true" outlineLevel="0" collapsed="false">
      <c r="B72" s="25" t="s">
        <v>373</v>
      </c>
      <c r="C72" s="25"/>
      <c r="D72" s="25"/>
      <c r="E72" s="25"/>
      <c r="F72" s="25"/>
      <c r="G72" s="25"/>
      <c r="H72" s="25"/>
      <c r="I72" s="25"/>
    </row>
    <row r="73" customFormat="false" ht="43.5" hidden="false" customHeight="true" outlineLevel="0" collapsed="false">
      <c r="B73" s="26" t="s">
        <v>374</v>
      </c>
      <c r="C73" s="26"/>
      <c r="D73" s="26"/>
      <c r="E73" s="26"/>
      <c r="F73" s="26"/>
      <c r="G73" s="26"/>
      <c r="H73" s="26"/>
      <c r="I73" s="26"/>
    </row>
    <row r="74" customFormat="false" ht="16.5" hidden="false" customHeight="true" outlineLevel="0" collapsed="false">
      <c r="B74" s="25" t="s">
        <v>375</v>
      </c>
      <c r="C74" s="25"/>
      <c r="D74" s="25"/>
      <c r="E74" s="25"/>
      <c r="F74" s="25"/>
      <c r="G74" s="25"/>
      <c r="H74" s="25"/>
      <c r="I74" s="25"/>
    </row>
    <row r="75" customFormat="false" ht="43.5" hidden="false" customHeight="true" outlineLevel="0" collapsed="false">
      <c r="B75" s="26" t="s">
        <v>376</v>
      </c>
      <c r="C75" s="26"/>
      <c r="D75" s="26"/>
      <c r="E75" s="26"/>
      <c r="F75" s="26"/>
      <c r="G75" s="26"/>
      <c r="H75" s="26"/>
      <c r="I75" s="26"/>
    </row>
    <row r="77" customFormat="false" ht="15" hidden="false" customHeight="false" outlineLevel="0" collapsed="false">
      <c r="B77" s="18" t="s">
        <v>168</v>
      </c>
      <c r="C77" s="19"/>
      <c r="D77" s="19"/>
      <c r="E77" s="19"/>
      <c r="F77" s="19"/>
      <c r="G77" s="19"/>
      <c r="H77" s="19"/>
      <c r="I77" s="19"/>
    </row>
    <row r="78" customFormat="false" ht="16.5" hidden="false" customHeight="true" outlineLevel="0" collapsed="false">
      <c r="B78" s="20" t="s">
        <v>377</v>
      </c>
      <c r="C78" s="20"/>
      <c r="D78" s="20"/>
      <c r="E78" s="20"/>
      <c r="F78" s="20"/>
      <c r="G78" s="20"/>
      <c r="H78" s="20"/>
      <c r="I78" s="20"/>
    </row>
    <row r="79" customFormat="false" ht="16.5" hidden="false" customHeight="true" outlineLevel="0" collapsed="false">
      <c r="B79" s="20" t="s">
        <v>378</v>
      </c>
      <c r="C79" s="20"/>
      <c r="D79" s="20"/>
      <c r="E79" s="20"/>
      <c r="F79" s="20"/>
      <c r="G79" s="20"/>
      <c r="H79" s="20"/>
      <c r="I79" s="20"/>
    </row>
    <row r="80" customFormat="false" ht="16.5" hidden="false" customHeight="true" outlineLevel="0" collapsed="false">
      <c r="B80" s="20" t="s">
        <v>379</v>
      </c>
      <c r="C80" s="20"/>
      <c r="D80" s="20"/>
      <c r="E80" s="20"/>
      <c r="F80" s="20"/>
      <c r="G80" s="20"/>
      <c r="H80" s="20"/>
      <c r="I80" s="20"/>
    </row>
    <row r="81" customFormat="false" ht="16.5" hidden="false" customHeight="true" outlineLevel="0" collapsed="false">
      <c r="B81" s="20" t="s">
        <v>380</v>
      </c>
      <c r="C81" s="20"/>
      <c r="D81" s="20"/>
      <c r="E81" s="20"/>
      <c r="F81" s="20"/>
      <c r="G81" s="20"/>
      <c r="H81" s="20"/>
      <c r="I81" s="20"/>
    </row>
    <row r="82" customFormat="false" ht="16.5" hidden="false" customHeight="true" outlineLevel="0" collapsed="false">
      <c r="B82" s="20" t="s">
        <v>381</v>
      </c>
      <c r="C82" s="20"/>
      <c r="D82" s="20"/>
      <c r="E82" s="20"/>
      <c r="F82" s="20"/>
      <c r="G82" s="20"/>
      <c r="H82" s="20"/>
      <c r="I82" s="20"/>
    </row>
    <row r="84" customFormat="false" ht="15" hidden="false" customHeight="false" outlineLevel="0" collapsed="false">
      <c r="B84" s="18" t="s">
        <v>174</v>
      </c>
      <c r="C84" s="19"/>
      <c r="D84" s="19"/>
      <c r="E84" s="19"/>
      <c r="F84" s="19"/>
      <c r="G84" s="19"/>
      <c r="H84" s="19"/>
      <c r="I84" s="19"/>
    </row>
    <row r="85" customFormat="false" ht="16.5" hidden="false" customHeight="true" outlineLevel="0" collapsed="false">
      <c r="B85" s="27" t="s">
        <v>382</v>
      </c>
      <c r="C85" s="27"/>
      <c r="D85" s="27"/>
      <c r="E85" s="27"/>
      <c r="F85" s="27"/>
      <c r="G85" s="27"/>
      <c r="H85" s="27"/>
      <c r="I85" s="27"/>
    </row>
    <row r="86" customFormat="false" ht="16.5" hidden="false" customHeight="true" outlineLevel="0" collapsed="false">
      <c r="B86" s="27" t="s">
        <v>383</v>
      </c>
      <c r="C86" s="27"/>
      <c r="D86" s="27"/>
      <c r="E86" s="27"/>
      <c r="F86" s="27"/>
      <c r="G86" s="27"/>
      <c r="H86" s="27"/>
      <c r="I86" s="27"/>
    </row>
    <row r="87" customFormat="false" ht="16.5" hidden="false" customHeight="true" outlineLevel="0" collapsed="false">
      <c r="B87" s="27" t="s">
        <v>384</v>
      </c>
      <c r="C87" s="27"/>
      <c r="D87" s="27"/>
      <c r="E87" s="27"/>
      <c r="F87" s="27"/>
      <c r="G87" s="27"/>
      <c r="H87" s="27"/>
      <c r="I87" s="27"/>
    </row>
    <row r="88" customFormat="false" ht="16.5" hidden="false" customHeight="true" outlineLevel="0" collapsed="false">
      <c r="B88" s="27" t="s">
        <v>385</v>
      </c>
      <c r="C88" s="27"/>
      <c r="D88" s="27"/>
      <c r="E88" s="27"/>
      <c r="F88" s="27"/>
      <c r="G88" s="27"/>
      <c r="H88" s="27"/>
      <c r="I88" s="27"/>
    </row>
    <row r="89" customFormat="false" ht="16.5" hidden="false" customHeight="true" outlineLevel="0" collapsed="false">
      <c r="B89" s="27" t="s">
        <v>386</v>
      </c>
      <c r="C89" s="27"/>
      <c r="D89" s="27"/>
      <c r="E89" s="27"/>
      <c r="F89" s="27"/>
      <c r="G89" s="27"/>
      <c r="H89" s="27"/>
      <c r="I89" s="27"/>
    </row>
  </sheetData>
  <mergeCells count="37">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C26:I26"/>
    <mergeCell ref="C27:I27"/>
    <mergeCell ref="B47:I47"/>
    <mergeCell ref="B65:I65"/>
    <mergeCell ref="B68:I68"/>
    <mergeCell ref="B69:I69"/>
    <mergeCell ref="B70:I70"/>
    <mergeCell ref="B71:I71"/>
    <mergeCell ref="B72:I72"/>
    <mergeCell ref="B73:I73"/>
    <mergeCell ref="B74:I74"/>
    <mergeCell ref="B75:I75"/>
    <mergeCell ref="B78:I78"/>
    <mergeCell ref="B79:I79"/>
    <mergeCell ref="B80:I80"/>
    <mergeCell ref="B81:I81"/>
    <mergeCell ref="B82:I82"/>
    <mergeCell ref="B85:I85"/>
    <mergeCell ref="B86:I86"/>
    <mergeCell ref="B87:I87"/>
    <mergeCell ref="B88:I88"/>
    <mergeCell ref="B89:I89"/>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387</v>
      </c>
      <c r="I1" s="17" t="s">
        <v>126</v>
      </c>
    </row>
    <row r="2" customFormat="false" ht="15" hidden="false" customHeight="false" outlineLevel="0" collapsed="false">
      <c r="B2" s="28" t="s">
        <v>388</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389</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390</v>
      </c>
      <c r="C8" s="20"/>
      <c r="D8" s="20"/>
      <c r="E8" s="20"/>
      <c r="F8" s="20"/>
      <c r="G8" s="20"/>
      <c r="H8" s="20"/>
      <c r="I8" s="20"/>
    </row>
    <row r="9" customFormat="false" ht="16.5" hidden="false" customHeight="true" outlineLevel="0" collapsed="false">
      <c r="B9" s="20" t="s">
        <v>391</v>
      </c>
      <c r="C9" s="20"/>
      <c r="D9" s="20"/>
      <c r="E9" s="20"/>
      <c r="F9" s="20"/>
      <c r="G9" s="20"/>
      <c r="H9" s="20"/>
      <c r="I9" s="20"/>
    </row>
    <row r="10" customFormat="false" ht="30" hidden="false" customHeight="true" outlineLevel="0" collapsed="false">
      <c r="B10" s="20" t="s">
        <v>392</v>
      </c>
      <c r="C10" s="20"/>
      <c r="D10" s="20"/>
      <c r="E10" s="20"/>
      <c r="F10" s="20"/>
      <c r="G10" s="20"/>
      <c r="H10" s="20"/>
      <c r="I10" s="20"/>
    </row>
    <row r="11" customFormat="false" ht="16.5" hidden="false" customHeight="true" outlineLevel="0" collapsed="false">
      <c r="B11" s="20" t="s">
        <v>393</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394</v>
      </c>
      <c r="C15" s="30" t="n">
        <v>0.075</v>
      </c>
    </row>
    <row r="16" customFormat="false" ht="15" hidden="false" customHeight="false" outlineLevel="0" collapsed="false">
      <c r="B16" s="14" t="s">
        <v>395</v>
      </c>
      <c r="C16" s="30" t="n">
        <v>0.08</v>
      </c>
    </row>
    <row r="17" customFormat="false" ht="15" hidden="false" customHeight="false" outlineLevel="0" collapsed="false">
      <c r="B17" s="14" t="s">
        <v>396</v>
      </c>
      <c r="C17" s="32" t="n">
        <v>5</v>
      </c>
    </row>
    <row r="18" customFormat="false" ht="15" hidden="false" customHeight="false" outlineLevel="0" collapsed="false">
      <c r="B18" s="14" t="s">
        <v>397</v>
      </c>
      <c r="C18" s="29" t="n">
        <v>100</v>
      </c>
    </row>
    <row r="19" customFormat="false" ht="15" hidden="false" customHeight="false" outlineLevel="0" collapsed="false">
      <c r="B19" s="14" t="s">
        <v>398</v>
      </c>
      <c r="C19" s="30" t="n">
        <v>0.005</v>
      </c>
    </row>
    <row r="20" customFormat="false" ht="15" hidden="false" customHeight="false" outlineLevel="0" collapsed="false">
      <c r="B20" s="14" t="s">
        <v>399</v>
      </c>
      <c r="C20" s="29" t="n">
        <v>25</v>
      </c>
    </row>
    <row r="22" customFormat="false" ht="15" hidden="false" customHeight="false" outlineLevel="0" collapsed="false">
      <c r="B22" s="33" t="s">
        <v>201</v>
      </c>
      <c r="C22" s="34"/>
      <c r="D22" s="34"/>
      <c r="E22" s="34"/>
      <c r="F22" s="34"/>
      <c r="G22" s="34"/>
      <c r="H22" s="34"/>
      <c r="I22" s="34"/>
    </row>
    <row r="23" customFormat="false" ht="15" hidden="false" customHeight="false" outlineLevel="0" collapsed="false">
      <c r="B23" s="11" t="s">
        <v>400</v>
      </c>
      <c r="C23" s="21" t="s">
        <v>401</v>
      </c>
      <c r="D23" s="21" t="s">
        <v>402</v>
      </c>
      <c r="E23" s="21" t="s">
        <v>403</v>
      </c>
      <c r="F23" s="21" t="s">
        <v>404</v>
      </c>
    </row>
    <row r="24" customFormat="false" ht="15" hidden="false" customHeight="false" outlineLevel="0" collapsed="false">
      <c r="B24" s="37" t="n">
        <v>1</v>
      </c>
      <c r="C24" s="47"/>
      <c r="D24" s="47"/>
      <c r="E24" s="47"/>
      <c r="F24" s="47"/>
    </row>
    <row r="25" customFormat="false" ht="15" hidden="false" customHeight="false" outlineLevel="0" collapsed="false">
      <c r="B25" s="37" t="n">
        <v>2</v>
      </c>
      <c r="C25" s="47"/>
      <c r="D25" s="47"/>
      <c r="E25" s="47"/>
      <c r="F25" s="47"/>
    </row>
    <row r="26" customFormat="false" ht="15" hidden="false" customHeight="false" outlineLevel="0" collapsed="false">
      <c r="B26" s="37" t="n">
        <v>3</v>
      </c>
      <c r="C26" s="47"/>
      <c r="D26" s="47"/>
      <c r="E26" s="47"/>
      <c r="F26" s="47"/>
    </row>
    <row r="27" customFormat="false" ht="15" hidden="false" customHeight="false" outlineLevel="0" collapsed="false">
      <c r="B27" s="37" t="n">
        <v>4</v>
      </c>
      <c r="C27" s="47"/>
      <c r="D27" s="47"/>
      <c r="E27" s="47"/>
      <c r="F27" s="47"/>
    </row>
    <row r="28" customFormat="false" ht="15" hidden="false" customHeight="false" outlineLevel="0" collapsed="false">
      <c r="B28" s="37" t="n">
        <v>5</v>
      </c>
      <c r="C28" s="47"/>
      <c r="D28" s="47"/>
      <c r="E28" s="47"/>
      <c r="F28" s="47"/>
    </row>
    <row r="30" customFormat="false" ht="15" hidden="false" customHeight="false" outlineLevel="0" collapsed="false">
      <c r="B30" s="22" t="s">
        <v>405</v>
      </c>
      <c r="C30" s="47"/>
    </row>
    <row r="31" customFormat="false" ht="15" hidden="false" customHeight="false" outlineLevel="0" collapsed="false">
      <c r="B31" s="14" t="s">
        <v>406</v>
      </c>
      <c r="C31" s="47"/>
    </row>
    <row r="32" customFormat="false" ht="15" hidden="false" customHeight="false" outlineLevel="0" collapsed="false">
      <c r="B32" s="22" t="s">
        <v>284</v>
      </c>
      <c r="C32" s="47"/>
    </row>
    <row r="33" customFormat="false" ht="15" hidden="false" customHeight="false" outlineLevel="0" collapsed="false">
      <c r="B33" s="14" t="s">
        <v>407</v>
      </c>
      <c r="C33" s="36"/>
    </row>
    <row r="34" customFormat="false" ht="15" hidden="false" customHeight="false" outlineLevel="0" collapsed="false">
      <c r="B34" s="14" t="s">
        <v>408</v>
      </c>
      <c r="C34" s="47"/>
    </row>
    <row r="35" customFormat="false" ht="15" hidden="false" customHeight="false" outlineLevel="0" collapsed="false">
      <c r="B35" s="14" t="s">
        <v>409</v>
      </c>
      <c r="C35" s="36"/>
    </row>
    <row r="36" customFormat="false" ht="15" hidden="false" customHeight="false" outlineLevel="0" collapsed="false">
      <c r="B36" s="14" t="s">
        <v>410</v>
      </c>
      <c r="C36" s="35"/>
    </row>
    <row r="37" customFormat="false" ht="15" hidden="false" customHeight="false" outlineLevel="0" collapsed="false">
      <c r="B37" s="14" t="s">
        <v>411</v>
      </c>
      <c r="C37" s="35"/>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412</v>
      </c>
      <c r="I1" s="17" t="s">
        <v>126</v>
      </c>
    </row>
    <row r="2" customFormat="false" ht="15" hidden="false" customHeight="false" outlineLevel="0" collapsed="false">
      <c r="B2" s="28" t="s">
        <v>413</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414</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415</v>
      </c>
      <c r="C8" s="20"/>
      <c r="D8" s="20"/>
      <c r="E8" s="20"/>
      <c r="F8" s="20"/>
      <c r="G8" s="20"/>
      <c r="H8" s="20"/>
      <c r="I8" s="20"/>
    </row>
    <row r="9" customFormat="false" ht="30" hidden="false" customHeight="true" outlineLevel="0" collapsed="false">
      <c r="B9" s="20" t="s">
        <v>416</v>
      </c>
      <c r="C9" s="20"/>
      <c r="D9" s="20"/>
      <c r="E9" s="20"/>
      <c r="F9" s="20"/>
      <c r="G9" s="20"/>
      <c r="H9" s="20"/>
      <c r="I9" s="20"/>
    </row>
    <row r="10" customFormat="false" ht="16.5" hidden="false" customHeight="true" outlineLevel="0" collapsed="false">
      <c r="B10" s="20" t="s">
        <v>417</v>
      </c>
      <c r="C10" s="20"/>
      <c r="D10" s="20"/>
      <c r="E10" s="20"/>
      <c r="F10" s="20"/>
      <c r="G10" s="20"/>
      <c r="H10" s="20"/>
      <c r="I10" s="20"/>
    </row>
    <row r="11" customFormat="false" ht="16.5" hidden="false" customHeight="true" outlineLevel="0" collapsed="false">
      <c r="B11" s="20" t="s">
        <v>418</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394</v>
      </c>
      <c r="C15" s="30" t="n">
        <v>0.072</v>
      </c>
    </row>
    <row r="16" customFormat="false" ht="15" hidden="false" customHeight="false" outlineLevel="0" collapsed="false">
      <c r="B16" s="14" t="s">
        <v>395</v>
      </c>
      <c r="C16" s="30" t="n">
        <v>0.072</v>
      </c>
    </row>
    <row r="17" customFormat="false" ht="15" hidden="false" customHeight="false" outlineLevel="0" collapsed="false">
      <c r="B17" s="14" t="s">
        <v>396</v>
      </c>
      <c r="C17" s="32" t="n">
        <v>10</v>
      </c>
    </row>
    <row r="18" customFormat="false" ht="15" hidden="false" customHeight="false" outlineLevel="0" collapsed="false">
      <c r="B18" s="14" t="s">
        <v>397</v>
      </c>
      <c r="C18" s="29" t="n">
        <v>100</v>
      </c>
    </row>
    <row r="20" customFormat="false" ht="15" hidden="false" customHeight="false" outlineLevel="0" collapsed="false">
      <c r="B20" s="33" t="s">
        <v>201</v>
      </c>
      <c r="C20" s="34"/>
      <c r="D20" s="34"/>
      <c r="E20" s="34"/>
      <c r="F20" s="34"/>
      <c r="G20" s="34"/>
      <c r="H20" s="34"/>
      <c r="I20" s="34"/>
    </row>
    <row r="21" customFormat="false" ht="15" hidden="false" customHeight="false" outlineLevel="0" collapsed="false">
      <c r="B21" s="11" t="s">
        <v>400</v>
      </c>
      <c r="C21" s="21" t="s">
        <v>401</v>
      </c>
      <c r="D21" s="21" t="s">
        <v>402</v>
      </c>
      <c r="E21" s="21" t="s">
        <v>403</v>
      </c>
      <c r="F21" s="21" t="s">
        <v>404</v>
      </c>
      <c r="G21" s="21" t="s">
        <v>419</v>
      </c>
    </row>
    <row r="22" customFormat="false" ht="15" hidden="false" customHeight="false" outlineLevel="0" collapsed="false">
      <c r="B22" s="37" t="n">
        <v>1</v>
      </c>
      <c r="C22" s="47"/>
      <c r="D22" s="47"/>
      <c r="E22" s="47"/>
      <c r="F22" s="47"/>
      <c r="G22" s="47"/>
    </row>
    <row r="23" customFormat="false" ht="15" hidden="false" customHeight="false" outlineLevel="0" collapsed="false">
      <c r="B23" s="37" t="n">
        <v>2</v>
      </c>
      <c r="C23" s="47"/>
      <c r="D23" s="47"/>
      <c r="E23" s="47"/>
      <c r="F23" s="47"/>
      <c r="G23" s="47"/>
    </row>
    <row r="24" customFormat="false" ht="15" hidden="false" customHeight="false" outlineLevel="0" collapsed="false">
      <c r="B24" s="37" t="n">
        <v>3</v>
      </c>
      <c r="C24" s="47"/>
      <c r="D24" s="47"/>
      <c r="E24" s="47"/>
      <c r="F24" s="47"/>
      <c r="G24" s="47"/>
    </row>
    <row r="25" customFormat="false" ht="15" hidden="false" customHeight="false" outlineLevel="0" collapsed="false">
      <c r="B25" s="37" t="n">
        <v>4</v>
      </c>
      <c r="C25" s="47"/>
      <c r="D25" s="47"/>
      <c r="E25" s="47"/>
      <c r="F25" s="47"/>
      <c r="G25" s="47"/>
    </row>
    <row r="26" customFormat="false" ht="15" hidden="false" customHeight="false" outlineLevel="0" collapsed="false">
      <c r="B26" s="37" t="n">
        <v>5</v>
      </c>
      <c r="C26" s="47"/>
      <c r="D26" s="47"/>
      <c r="E26" s="47"/>
      <c r="F26" s="47"/>
      <c r="G26" s="47"/>
    </row>
    <row r="27" customFormat="false" ht="15" hidden="false" customHeight="false" outlineLevel="0" collapsed="false">
      <c r="B27" s="37" t="n">
        <v>6</v>
      </c>
      <c r="C27" s="47"/>
      <c r="D27" s="47"/>
      <c r="E27" s="47"/>
      <c r="F27" s="47"/>
      <c r="G27" s="47"/>
    </row>
    <row r="28" customFormat="false" ht="15" hidden="false" customHeight="false" outlineLevel="0" collapsed="false">
      <c r="B28" s="37" t="n">
        <v>7</v>
      </c>
      <c r="C28" s="47"/>
      <c r="D28" s="47"/>
      <c r="E28" s="47"/>
      <c r="F28" s="47"/>
      <c r="G28" s="47"/>
    </row>
    <row r="29" customFormat="false" ht="15" hidden="false" customHeight="false" outlineLevel="0" collapsed="false">
      <c r="B29" s="37" t="n">
        <v>8</v>
      </c>
      <c r="C29" s="47"/>
      <c r="D29" s="47"/>
      <c r="E29" s="47"/>
      <c r="F29" s="47"/>
      <c r="G29" s="47"/>
    </row>
    <row r="30" customFormat="false" ht="15" hidden="false" customHeight="false" outlineLevel="0" collapsed="false">
      <c r="B30" s="37" t="n">
        <v>9</v>
      </c>
      <c r="C30" s="47"/>
      <c r="D30" s="47"/>
      <c r="E30" s="47"/>
      <c r="F30" s="47"/>
      <c r="G30" s="47"/>
    </row>
    <row r="31" customFormat="false" ht="15" hidden="false" customHeight="false" outlineLevel="0" collapsed="false">
      <c r="B31" s="37" t="n">
        <v>10</v>
      </c>
      <c r="C31" s="47"/>
      <c r="D31" s="47"/>
      <c r="E31" s="47"/>
      <c r="F31" s="47"/>
      <c r="G31" s="47"/>
    </row>
    <row r="33" customFormat="false" ht="15" hidden="false" customHeight="false" outlineLevel="0" collapsed="false">
      <c r="B33" s="14" t="s">
        <v>405</v>
      </c>
      <c r="C33" s="47"/>
    </row>
    <row r="34" customFormat="false" ht="15" hidden="false" customHeight="false" outlineLevel="0" collapsed="false">
      <c r="B34" s="14" t="s">
        <v>352</v>
      </c>
      <c r="C34" s="47"/>
    </row>
    <row r="35" customFormat="false" ht="15" hidden="false" customHeight="false" outlineLevel="0" collapsed="false">
      <c r="B35" s="22" t="s">
        <v>284</v>
      </c>
      <c r="C35" s="47"/>
    </row>
    <row r="36" customFormat="false" ht="15" hidden="false" customHeight="false" outlineLevel="0" collapsed="false">
      <c r="B36" s="22" t="s">
        <v>420</v>
      </c>
      <c r="C36" s="47"/>
    </row>
    <row r="38" customFormat="false" ht="15" hidden="false" customHeight="false" outlineLevel="0" collapsed="false">
      <c r="B38" s="11" t="s">
        <v>398</v>
      </c>
      <c r="C38" s="21" t="s">
        <v>421</v>
      </c>
      <c r="D38" s="21" t="s">
        <v>422</v>
      </c>
      <c r="E38" s="21" t="s">
        <v>423</v>
      </c>
      <c r="F38" s="21" t="s">
        <v>424</v>
      </c>
    </row>
    <row r="39" customFormat="false" ht="15" hidden="false" customHeight="false" outlineLevel="0" collapsed="false">
      <c r="B39" s="48" t="n">
        <v>-0.02</v>
      </c>
      <c r="C39" s="36"/>
      <c r="D39" s="36"/>
      <c r="E39" s="36"/>
      <c r="F39" s="47"/>
    </row>
    <row r="40" customFormat="false" ht="15" hidden="false" customHeight="false" outlineLevel="0" collapsed="false">
      <c r="B40" s="48" t="n">
        <v>-0.01</v>
      </c>
      <c r="C40" s="36"/>
      <c r="D40" s="36"/>
      <c r="E40" s="36"/>
      <c r="F40" s="47"/>
    </row>
    <row r="41" customFormat="false" ht="15" hidden="false" customHeight="false" outlineLevel="0" collapsed="false">
      <c r="B41" s="48" t="n">
        <v>0.01</v>
      </c>
      <c r="C41" s="36"/>
      <c r="D41" s="36"/>
      <c r="E41" s="36"/>
      <c r="F41" s="47"/>
    </row>
    <row r="42" customFormat="false" ht="15" hidden="false" customHeight="false" outlineLevel="0" collapsed="false">
      <c r="B42" s="48" t="n">
        <v>0.02</v>
      </c>
      <c r="C42" s="36"/>
      <c r="D42" s="36"/>
      <c r="E42" s="36"/>
      <c r="F42" s="47"/>
    </row>
    <row r="44" customFormat="false" ht="15" hidden="false" customHeight="false" outlineLevel="0" collapsed="false">
      <c r="B44" s="39" t="s">
        <v>251</v>
      </c>
      <c r="C44" s="40"/>
      <c r="D44" s="40"/>
      <c r="E44" s="40"/>
      <c r="F44" s="40"/>
      <c r="G44" s="40"/>
      <c r="H44" s="40"/>
      <c r="I44" s="40"/>
    </row>
    <row r="45" customFormat="false" ht="16.5" hidden="false" customHeight="true" outlineLevel="0" collapsed="false">
      <c r="B45" s="24" t="s">
        <v>425</v>
      </c>
      <c r="C45" s="24"/>
      <c r="D45" s="24"/>
      <c r="E45" s="24"/>
      <c r="F45" s="24"/>
      <c r="G45" s="24"/>
      <c r="H45" s="24"/>
      <c r="I45" s="24"/>
    </row>
  </sheetData>
  <mergeCells count="6">
    <mergeCell ref="B5:I5"/>
    <mergeCell ref="B8:I8"/>
    <mergeCell ref="B9:I9"/>
    <mergeCell ref="B10:I10"/>
    <mergeCell ref="B11:I11"/>
    <mergeCell ref="B45:I45"/>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426</v>
      </c>
      <c r="I1" s="17" t="s">
        <v>126</v>
      </c>
    </row>
    <row r="2" customFormat="false" ht="15" hidden="false" customHeight="false" outlineLevel="0" collapsed="false">
      <c r="B2" s="28" t="s">
        <v>427</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428</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429</v>
      </c>
      <c r="C8" s="20"/>
      <c r="D8" s="20"/>
      <c r="E8" s="20"/>
      <c r="F8" s="20"/>
      <c r="G8" s="20"/>
      <c r="H8" s="20"/>
      <c r="I8" s="20"/>
    </row>
    <row r="9" customFormat="false" ht="16.5" hidden="false" customHeight="true" outlineLevel="0" collapsed="false">
      <c r="B9" s="20" t="s">
        <v>430</v>
      </c>
      <c r="C9" s="20"/>
      <c r="D9" s="20"/>
      <c r="E9" s="20"/>
      <c r="F9" s="20"/>
      <c r="G9" s="20"/>
      <c r="H9" s="20"/>
      <c r="I9" s="20"/>
    </row>
    <row r="10" customFormat="false" ht="16.5" hidden="false" customHeight="true" outlineLevel="0" collapsed="false">
      <c r="B10" s="20" t="s">
        <v>431</v>
      </c>
      <c r="C10" s="20"/>
      <c r="D10" s="20"/>
      <c r="E10" s="20"/>
      <c r="F10" s="20"/>
      <c r="G10" s="20"/>
      <c r="H10" s="20"/>
      <c r="I10" s="20"/>
    </row>
    <row r="11" customFormat="false" ht="16.5" hidden="false" customHeight="true" outlineLevel="0" collapsed="false">
      <c r="B11" s="20" t="s">
        <v>432</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193</v>
      </c>
      <c r="C15" s="29" t="n">
        <v>500</v>
      </c>
    </row>
    <row r="16" customFormat="false" ht="15" hidden="false" customHeight="false" outlineLevel="0" collapsed="false">
      <c r="B16" s="14" t="s">
        <v>284</v>
      </c>
      <c r="C16" s="29" t="n">
        <v>5.2</v>
      </c>
    </row>
    <row r="17" customFormat="false" ht="15" hidden="false" customHeight="false" outlineLevel="0" collapsed="false">
      <c r="B17" s="14" t="s">
        <v>433</v>
      </c>
      <c r="C17" s="29" t="n">
        <v>130</v>
      </c>
      <c r="D17" s="6" t="s">
        <v>434</v>
      </c>
    </row>
    <row r="18" customFormat="false" ht="15" hidden="false" customHeight="false" outlineLevel="0" collapsed="false">
      <c r="B18" s="14" t="s">
        <v>286</v>
      </c>
      <c r="C18" s="31" t="n">
        <v>0.0001</v>
      </c>
    </row>
    <row r="19" customFormat="false" ht="15" hidden="false" customHeight="false" outlineLevel="0" collapsed="false">
      <c r="B19" s="14" t="s">
        <v>302</v>
      </c>
      <c r="C19" s="32" t="n">
        <v>10000000</v>
      </c>
    </row>
    <row r="20" customFormat="false" ht="15" hidden="false" customHeight="false" outlineLevel="0" collapsed="false">
      <c r="B20" s="14" t="s">
        <v>435</v>
      </c>
      <c r="C20" s="32" t="n">
        <v>25</v>
      </c>
    </row>
    <row r="22" customFormat="false" ht="15" hidden="false" customHeight="false" outlineLevel="0" collapsed="false">
      <c r="B22" s="33" t="s">
        <v>201</v>
      </c>
      <c r="C22" s="34"/>
      <c r="D22" s="34"/>
      <c r="E22" s="34"/>
      <c r="F22" s="34"/>
      <c r="G22" s="34"/>
      <c r="H22" s="34"/>
      <c r="I22" s="34"/>
    </row>
    <row r="23" customFormat="false" ht="15" hidden="false" customHeight="false" outlineLevel="0" collapsed="false">
      <c r="B23" s="14" t="s">
        <v>436</v>
      </c>
      <c r="C23" s="49"/>
    </row>
    <row r="24" customFormat="false" ht="15" hidden="false" customHeight="false" outlineLevel="0" collapsed="false">
      <c r="B24" s="22" t="s">
        <v>437</v>
      </c>
      <c r="C24" s="50"/>
    </row>
    <row r="25" customFormat="false" ht="15" hidden="false" customHeight="false" outlineLevel="0" collapsed="false">
      <c r="B25" s="14" t="s">
        <v>438</v>
      </c>
      <c r="C25" s="35"/>
    </row>
    <row r="26" customFormat="false" ht="15" hidden="false" customHeight="false" outlineLevel="0" collapsed="false">
      <c r="B26" s="14" t="s">
        <v>439</v>
      </c>
      <c r="C26" s="35"/>
    </row>
    <row r="27" customFormat="false" ht="15" hidden="false" customHeight="false" outlineLevel="0" collapsed="false">
      <c r="B27" s="14" t="s">
        <v>440</v>
      </c>
      <c r="C27" s="35"/>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441</v>
      </c>
      <c r="I1" s="17" t="s">
        <v>126</v>
      </c>
    </row>
    <row r="2" customFormat="false" ht="15" hidden="false" customHeight="false" outlineLevel="0" collapsed="false">
      <c r="B2" s="28" t="s">
        <v>442</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443</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444</v>
      </c>
      <c r="C8" s="20"/>
      <c r="D8" s="20"/>
      <c r="E8" s="20"/>
      <c r="F8" s="20"/>
      <c r="G8" s="20"/>
      <c r="H8" s="20"/>
      <c r="I8" s="20"/>
    </row>
    <row r="9" customFormat="false" ht="16.5" hidden="false" customHeight="true" outlineLevel="0" collapsed="false">
      <c r="B9" s="20" t="s">
        <v>445</v>
      </c>
      <c r="C9" s="20"/>
      <c r="D9" s="20"/>
      <c r="E9" s="20"/>
      <c r="F9" s="20"/>
      <c r="G9" s="20"/>
      <c r="H9" s="20"/>
      <c r="I9" s="20"/>
    </row>
    <row r="10" customFormat="false" ht="16.5" hidden="false" customHeight="true" outlineLevel="0" collapsed="false">
      <c r="B10" s="20" t="s">
        <v>446</v>
      </c>
      <c r="C10" s="20"/>
      <c r="D10" s="20"/>
      <c r="E10" s="20"/>
      <c r="F10" s="20"/>
      <c r="G10" s="20"/>
      <c r="H10" s="20"/>
      <c r="I10" s="20"/>
    </row>
    <row r="11" customFormat="false" ht="16.5" hidden="false" customHeight="true" outlineLevel="0" collapsed="false">
      <c r="B11" s="20" t="s">
        <v>447</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193</v>
      </c>
      <c r="C15" s="29" t="n">
        <v>25</v>
      </c>
    </row>
    <row r="16" customFormat="false" ht="15" hidden="false" customHeight="false" outlineLevel="0" collapsed="false">
      <c r="B16" s="14" t="s">
        <v>448</v>
      </c>
      <c r="C16" s="29" t="n">
        <v>1.25</v>
      </c>
    </row>
    <row r="17" customFormat="false" ht="15" hidden="false" customHeight="false" outlineLevel="0" collapsed="false">
      <c r="B17" s="14" t="s">
        <v>449</v>
      </c>
      <c r="C17" s="32" t="n">
        <v>24500</v>
      </c>
    </row>
    <row r="18" customFormat="false" ht="15" hidden="false" customHeight="false" outlineLevel="0" collapsed="false">
      <c r="B18" s="14" t="s">
        <v>450</v>
      </c>
      <c r="C18" s="32" t="n">
        <v>75</v>
      </c>
      <c r="D18" s="6" t="s">
        <v>451</v>
      </c>
    </row>
    <row r="19" customFormat="false" ht="15" hidden="false" customHeight="false" outlineLevel="0" collapsed="false">
      <c r="B19" s="14" t="s">
        <v>452</v>
      </c>
      <c r="C19" s="29" t="n">
        <v>0.6</v>
      </c>
    </row>
    <row r="20" customFormat="false" ht="15" hidden="false" customHeight="false" outlineLevel="0" collapsed="false">
      <c r="B20" s="14" t="s">
        <v>453</v>
      </c>
      <c r="C20" s="46" t="n">
        <v>0.08</v>
      </c>
    </row>
    <row r="21" customFormat="false" ht="15" hidden="false" customHeight="false" outlineLevel="0" collapsed="false">
      <c r="B21" s="14" t="s">
        <v>302</v>
      </c>
      <c r="C21" s="32" t="n">
        <v>10000000</v>
      </c>
    </row>
    <row r="23" customFormat="false" ht="15" hidden="false" customHeight="false" outlineLevel="0" collapsed="false">
      <c r="B23" s="33" t="s">
        <v>201</v>
      </c>
      <c r="C23" s="34"/>
      <c r="D23" s="34"/>
      <c r="E23" s="34"/>
      <c r="F23" s="34"/>
      <c r="G23" s="34"/>
      <c r="H23" s="34"/>
      <c r="I23" s="34"/>
    </row>
    <row r="24" customFormat="false" ht="15" hidden="false" customHeight="false" outlineLevel="0" collapsed="false">
      <c r="B24" s="14" t="s">
        <v>454</v>
      </c>
      <c r="C24" s="49"/>
    </row>
    <row r="25" customFormat="false" ht="15" hidden="false" customHeight="false" outlineLevel="0" collapsed="false">
      <c r="B25" s="14" t="s">
        <v>455</v>
      </c>
      <c r="C25" s="43"/>
    </row>
    <row r="26" customFormat="false" ht="15" hidden="false" customHeight="false" outlineLevel="0" collapsed="false">
      <c r="B26" s="22" t="s">
        <v>456</v>
      </c>
      <c r="C26" s="50"/>
    </row>
    <row r="27" customFormat="false" ht="15" hidden="false" customHeight="false" outlineLevel="0" collapsed="false">
      <c r="B27" s="14" t="s">
        <v>457</v>
      </c>
      <c r="C27" s="43"/>
    </row>
    <row r="28" customFormat="false" ht="15" hidden="false" customHeight="false" outlineLevel="0" collapsed="false">
      <c r="B28" s="22" t="s">
        <v>456</v>
      </c>
      <c r="C28" s="50"/>
    </row>
    <row r="29" customFormat="false" ht="15" hidden="false" customHeight="false" outlineLevel="0" collapsed="false">
      <c r="B29" s="14" t="s">
        <v>438</v>
      </c>
      <c r="C29" s="35"/>
    </row>
    <row r="30" customFormat="false" ht="15" hidden="false" customHeight="false" outlineLevel="0" collapsed="false">
      <c r="B30" s="14" t="s">
        <v>458</v>
      </c>
      <c r="C30" s="35"/>
    </row>
    <row r="31" customFormat="false" ht="15" hidden="false" customHeight="false" outlineLevel="0" collapsed="false">
      <c r="B31" s="14" t="s">
        <v>459</v>
      </c>
      <c r="C31" s="35"/>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460</v>
      </c>
      <c r="I1" s="17" t="s">
        <v>126</v>
      </c>
    </row>
    <row r="2" customFormat="false" ht="15" hidden="false" customHeight="false" outlineLevel="0" collapsed="false">
      <c r="B2" s="28" t="s">
        <v>461</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462</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463</v>
      </c>
      <c r="C8" s="20"/>
      <c r="D8" s="20"/>
      <c r="E8" s="20"/>
      <c r="F8" s="20"/>
      <c r="G8" s="20"/>
      <c r="H8" s="20"/>
      <c r="I8" s="20"/>
    </row>
    <row r="9" customFormat="false" ht="16.5" hidden="false" customHeight="true" outlineLevel="0" collapsed="false">
      <c r="B9" s="20" t="s">
        <v>464</v>
      </c>
      <c r="C9" s="20"/>
      <c r="D9" s="20"/>
      <c r="E9" s="20"/>
      <c r="F9" s="20"/>
      <c r="G9" s="20"/>
      <c r="H9" s="20"/>
      <c r="I9" s="20"/>
    </row>
    <row r="10" customFormat="false" ht="30" hidden="false" customHeight="true" outlineLevel="0" collapsed="false">
      <c r="B10" s="20" t="s">
        <v>465</v>
      </c>
      <c r="C10" s="20"/>
      <c r="D10" s="20"/>
      <c r="E10" s="20"/>
      <c r="F10" s="20"/>
      <c r="G10" s="20"/>
      <c r="H10" s="20"/>
      <c r="I10" s="20"/>
    </row>
    <row r="11" customFormat="false" ht="16.5" hidden="false" customHeight="true" outlineLevel="0" collapsed="false">
      <c r="B11" s="20" t="s">
        <v>466</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467</v>
      </c>
      <c r="C15" s="29" t="n">
        <v>1500</v>
      </c>
    </row>
    <row r="16" customFormat="false" ht="15" hidden="false" customHeight="false" outlineLevel="0" collapsed="false">
      <c r="B16" s="14" t="s">
        <v>468</v>
      </c>
      <c r="C16" s="29" t="n">
        <v>1500</v>
      </c>
    </row>
    <row r="17" customFormat="false" ht="15" hidden="false" customHeight="false" outlineLevel="0" collapsed="false">
      <c r="B17" s="14" t="s">
        <v>469</v>
      </c>
      <c r="C17" s="30" t="n">
        <v>0.065</v>
      </c>
    </row>
    <row r="18" customFormat="false" ht="15" hidden="false" customHeight="false" outlineLevel="0" collapsed="false">
      <c r="B18" s="14" t="s">
        <v>470</v>
      </c>
      <c r="C18" s="30" t="n">
        <v>0.25</v>
      </c>
    </row>
    <row r="19" customFormat="false" ht="15" hidden="false" customHeight="false" outlineLevel="0" collapsed="false">
      <c r="B19" s="14" t="s">
        <v>471</v>
      </c>
      <c r="C19" s="29" t="n">
        <v>0.25</v>
      </c>
    </row>
    <row r="20" customFormat="false" ht="15" hidden="false" customHeight="false" outlineLevel="0" collapsed="false">
      <c r="B20" s="14" t="s">
        <v>472</v>
      </c>
      <c r="C20" s="29" t="n">
        <v>30</v>
      </c>
    </row>
    <row r="22" customFormat="false" ht="15" hidden="false" customHeight="false" outlineLevel="0" collapsed="false">
      <c r="B22" s="33" t="s">
        <v>201</v>
      </c>
      <c r="C22" s="34"/>
      <c r="D22" s="34"/>
      <c r="E22" s="34"/>
      <c r="F22" s="34"/>
      <c r="G22" s="34"/>
      <c r="H22" s="34"/>
      <c r="I22" s="34"/>
    </row>
    <row r="23" customFormat="false" ht="15" hidden="false" customHeight="false" outlineLevel="0" collapsed="false">
      <c r="B23" s="14" t="s">
        <v>473</v>
      </c>
      <c r="C23" s="47"/>
    </row>
    <row r="24" customFormat="false" ht="15" hidden="false" customHeight="false" outlineLevel="0" collapsed="false">
      <c r="B24" s="14" t="s">
        <v>474</v>
      </c>
      <c r="C24" s="47"/>
    </row>
    <row r="25" customFormat="false" ht="15" hidden="false" customHeight="false" outlineLevel="0" collapsed="false">
      <c r="B25" s="14" t="s">
        <v>475</v>
      </c>
      <c r="C25" s="47"/>
    </row>
    <row r="26" customFormat="false" ht="15" hidden="false" customHeight="false" outlineLevel="0" collapsed="false">
      <c r="B26" s="14" t="s">
        <v>476</v>
      </c>
      <c r="C26" s="47"/>
    </row>
    <row r="27" customFormat="false" ht="15" hidden="false" customHeight="false" outlineLevel="0" collapsed="false">
      <c r="B27" s="22" t="s">
        <v>477</v>
      </c>
      <c r="C27" s="43"/>
    </row>
    <row r="28" customFormat="false" ht="15" hidden="false" customHeight="false" outlineLevel="0" collapsed="false">
      <c r="B28" s="22" t="s">
        <v>478</v>
      </c>
      <c r="C28" s="47"/>
    </row>
    <row r="29" customFormat="false" ht="15" hidden="false" customHeight="false" outlineLevel="0" collapsed="false">
      <c r="B29" s="22" t="s">
        <v>479</v>
      </c>
      <c r="C29" s="51"/>
    </row>
    <row r="30" customFormat="false" ht="15" hidden="false" customHeight="false" outlineLevel="0" collapsed="false">
      <c r="B30" s="14" t="s">
        <v>480</v>
      </c>
      <c r="C30" s="47"/>
    </row>
    <row r="31" customFormat="false" ht="15" hidden="false" customHeight="false" outlineLevel="0" collapsed="false">
      <c r="B31" s="14" t="s">
        <v>481</v>
      </c>
      <c r="C31" s="47"/>
    </row>
    <row r="32" customFormat="false" ht="15" hidden="false" customHeight="false" outlineLevel="0" collapsed="false">
      <c r="B32" s="14" t="s">
        <v>482</v>
      </c>
      <c r="C32" s="47"/>
    </row>
    <row r="33" customFormat="false" ht="15" hidden="false" customHeight="false" outlineLevel="0" collapsed="false">
      <c r="B33" s="14" t="s">
        <v>483</v>
      </c>
      <c r="C33" s="47"/>
    </row>
    <row r="34" customFormat="false" ht="15" hidden="false" customHeight="false" outlineLevel="0" collapsed="false">
      <c r="B34" s="14" t="s">
        <v>484</v>
      </c>
      <c r="C34" s="47"/>
    </row>
    <row r="35" customFormat="false" ht="15" hidden="false" customHeight="false" outlineLevel="0" collapsed="false">
      <c r="B35" s="14" t="s">
        <v>485</v>
      </c>
      <c r="C35" s="47"/>
    </row>
    <row r="36" customFormat="false" ht="15" hidden="false" customHeight="false" outlineLevel="0" collapsed="false">
      <c r="B36" s="14" t="s">
        <v>486</v>
      </c>
      <c r="C36" s="47"/>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487</v>
      </c>
      <c r="I1" s="17" t="s">
        <v>126</v>
      </c>
    </row>
    <row r="2" customFormat="false" ht="15" hidden="false" customHeight="false" outlineLevel="0" collapsed="false">
      <c r="B2" s="28" t="s">
        <v>488</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489</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490</v>
      </c>
      <c r="C8" s="20"/>
      <c r="D8" s="20"/>
      <c r="E8" s="20"/>
      <c r="F8" s="20"/>
      <c r="G8" s="20"/>
      <c r="H8" s="20"/>
      <c r="I8" s="20"/>
    </row>
    <row r="9" customFormat="false" ht="16.5" hidden="false" customHeight="true" outlineLevel="0" collapsed="false">
      <c r="B9" s="20" t="s">
        <v>491</v>
      </c>
      <c r="C9" s="20"/>
      <c r="D9" s="20"/>
      <c r="E9" s="20"/>
      <c r="F9" s="20"/>
      <c r="G9" s="20"/>
      <c r="H9" s="20"/>
      <c r="I9" s="20"/>
    </row>
    <row r="10" customFormat="false" ht="16.5" hidden="false" customHeight="true" outlineLevel="0" collapsed="false">
      <c r="B10" s="20" t="s">
        <v>492</v>
      </c>
      <c r="C10" s="20"/>
      <c r="D10" s="20"/>
      <c r="E10" s="20"/>
      <c r="F10" s="20"/>
      <c r="G10" s="20"/>
      <c r="H10" s="20"/>
      <c r="I10" s="20"/>
    </row>
    <row r="11" customFormat="false" ht="16.5" hidden="false" customHeight="true" outlineLevel="0" collapsed="false">
      <c r="B11" s="20" t="s">
        <v>493</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494</v>
      </c>
      <c r="C15" s="32" t="n">
        <v>50000</v>
      </c>
    </row>
    <row r="16" customFormat="false" ht="15" hidden="false" customHeight="false" outlineLevel="0" collapsed="false">
      <c r="B16" s="14" t="s">
        <v>495</v>
      </c>
      <c r="C16" s="52" t="n">
        <v>0.55</v>
      </c>
    </row>
    <row r="17" customFormat="false" ht="15" hidden="false" customHeight="false" outlineLevel="0" collapsed="false">
      <c r="B17" s="14" t="s">
        <v>496</v>
      </c>
      <c r="C17" s="52" t="n">
        <v>0.0021</v>
      </c>
    </row>
    <row r="18" customFormat="false" ht="15" hidden="false" customHeight="false" outlineLevel="0" collapsed="false">
      <c r="B18" s="14" t="s">
        <v>497</v>
      </c>
      <c r="C18" s="52" t="n">
        <v>0.4</v>
      </c>
    </row>
    <row r="19" customFormat="false" ht="15" hidden="false" customHeight="false" outlineLevel="0" collapsed="false">
      <c r="B19" s="14" t="s">
        <v>498</v>
      </c>
      <c r="C19" s="52" t="n">
        <v>0.003</v>
      </c>
    </row>
    <row r="21" customFormat="false" ht="15" hidden="false" customHeight="false" outlineLevel="0" collapsed="false">
      <c r="B21" s="33" t="s">
        <v>201</v>
      </c>
      <c r="C21" s="34"/>
      <c r="D21" s="34"/>
      <c r="E21" s="34"/>
      <c r="F21" s="34"/>
      <c r="G21" s="34"/>
      <c r="H21" s="34"/>
      <c r="I21" s="34"/>
    </row>
    <row r="22" customFormat="false" ht="15" hidden="false" customHeight="false" outlineLevel="0" collapsed="false">
      <c r="B22" s="14" t="s">
        <v>499</v>
      </c>
      <c r="C22" s="50"/>
    </row>
    <row r="23" customFormat="false" ht="15" hidden="false" customHeight="false" outlineLevel="0" collapsed="false">
      <c r="B23" s="22" t="s">
        <v>500</v>
      </c>
      <c r="C23" s="50"/>
    </row>
    <row r="24" customFormat="false" ht="15" hidden="false" customHeight="false" outlineLevel="0" collapsed="false">
      <c r="B24" s="14" t="s">
        <v>501</v>
      </c>
      <c r="C24" s="50"/>
    </row>
    <row r="25" customFormat="false" ht="15" hidden="false" customHeight="false" outlineLevel="0" collapsed="false">
      <c r="B25" s="22" t="s">
        <v>502</v>
      </c>
      <c r="C25" s="50"/>
    </row>
    <row r="26" customFormat="false" ht="15" hidden="false" customHeight="false" outlineLevel="0" collapsed="false">
      <c r="B26" s="14" t="s">
        <v>503</v>
      </c>
      <c r="C26" s="47"/>
    </row>
    <row r="27" customFormat="false" ht="15" hidden="false" customHeight="false" outlineLevel="0" collapsed="false">
      <c r="B27" s="14" t="s">
        <v>504</v>
      </c>
      <c r="C27" s="47"/>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505</v>
      </c>
      <c r="I1" s="17" t="s">
        <v>126</v>
      </c>
    </row>
    <row r="2" customFormat="false" ht="15" hidden="false" customHeight="false" outlineLevel="0" collapsed="false">
      <c r="B2" s="28" t="s">
        <v>506</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507</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508</v>
      </c>
      <c r="C8" s="20"/>
      <c r="D8" s="20"/>
      <c r="E8" s="20"/>
      <c r="F8" s="20"/>
      <c r="G8" s="20"/>
      <c r="H8" s="20"/>
      <c r="I8" s="20"/>
    </row>
    <row r="9" customFormat="false" ht="16.5" hidden="false" customHeight="true" outlineLevel="0" collapsed="false">
      <c r="B9" s="20" t="s">
        <v>509</v>
      </c>
      <c r="C9" s="20"/>
      <c r="D9" s="20"/>
      <c r="E9" s="20"/>
      <c r="F9" s="20"/>
      <c r="G9" s="20"/>
      <c r="H9" s="20"/>
      <c r="I9" s="20"/>
    </row>
    <row r="10" customFormat="false" ht="16.5" hidden="false" customHeight="true" outlineLevel="0" collapsed="false">
      <c r="B10" s="20" t="s">
        <v>510</v>
      </c>
      <c r="C10" s="20"/>
      <c r="D10" s="20"/>
      <c r="E10" s="20"/>
      <c r="F10" s="20"/>
      <c r="G10" s="20"/>
      <c r="H10" s="20"/>
      <c r="I10" s="20"/>
    </row>
    <row r="11" customFormat="false" ht="16.5" hidden="false" customHeight="true" outlineLevel="0" collapsed="false">
      <c r="B11" s="20" t="s">
        <v>511</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512</v>
      </c>
      <c r="C15" s="32" t="n">
        <v>10000</v>
      </c>
    </row>
    <row r="16" customFormat="false" ht="15" hidden="false" customHeight="false" outlineLevel="0" collapsed="false">
      <c r="B16" s="14" t="s">
        <v>513</v>
      </c>
      <c r="C16" s="29" t="n">
        <v>4.5</v>
      </c>
    </row>
    <row r="17" customFormat="false" ht="15" hidden="false" customHeight="false" outlineLevel="0" collapsed="false">
      <c r="B17" s="14" t="s">
        <v>514</v>
      </c>
      <c r="C17" s="32" t="n">
        <v>9200</v>
      </c>
    </row>
    <row r="18" customFormat="false" ht="15" hidden="false" customHeight="false" outlineLevel="0" collapsed="false">
      <c r="B18" s="14" t="s">
        <v>515</v>
      </c>
      <c r="C18" s="29" t="n">
        <v>1.2</v>
      </c>
    </row>
    <row r="19" customFormat="false" ht="15" hidden="false" customHeight="false" outlineLevel="0" collapsed="false">
      <c r="B19" s="14" t="s">
        <v>516</v>
      </c>
      <c r="C19" s="30" t="n">
        <v>0.07</v>
      </c>
    </row>
    <row r="20" customFormat="false" ht="15" hidden="false" customHeight="false" outlineLevel="0" collapsed="false">
      <c r="B20" s="14" t="s">
        <v>517</v>
      </c>
      <c r="C20" s="30" t="n">
        <v>0.02</v>
      </c>
    </row>
    <row r="22" customFormat="false" ht="15" hidden="false" customHeight="false" outlineLevel="0" collapsed="false">
      <c r="B22" s="33" t="s">
        <v>201</v>
      </c>
      <c r="C22" s="34"/>
      <c r="D22" s="34"/>
      <c r="E22" s="34"/>
      <c r="F22" s="34"/>
      <c r="G22" s="34"/>
      <c r="H22" s="34"/>
      <c r="I22" s="34"/>
    </row>
    <row r="23" customFormat="false" ht="15" hidden="false" customHeight="false" outlineLevel="0" collapsed="false">
      <c r="B23" s="14" t="s">
        <v>518</v>
      </c>
      <c r="C23" s="50"/>
    </row>
    <row r="24" customFormat="false" ht="15" hidden="false" customHeight="false" outlineLevel="0" collapsed="false">
      <c r="B24" s="22" t="s">
        <v>519</v>
      </c>
      <c r="C24" s="47"/>
    </row>
    <row r="25" customFormat="false" ht="15" hidden="false" customHeight="false" outlineLevel="0" collapsed="false">
      <c r="B25" s="22" t="s">
        <v>520</v>
      </c>
      <c r="C25" s="43"/>
    </row>
    <row r="26" customFormat="false" ht="15" hidden="false" customHeight="false" outlineLevel="0" collapsed="false">
      <c r="B26" s="14" t="s">
        <v>521</v>
      </c>
      <c r="C26" s="53"/>
    </row>
    <row r="27" customFormat="false" ht="15" hidden="false" customHeight="false" outlineLevel="0" collapsed="false">
      <c r="B27" s="14" t="s">
        <v>522</v>
      </c>
      <c r="C27" s="47"/>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523</v>
      </c>
      <c r="I1" s="17" t="s">
        <v>126</v>
      </c>
    </row>
    <row r="2" customFormat="false" ht="15" hidden="false" customHeight="false" outlineLevel="0" collapsed="false">
      <c r="B2" s="28" t="s">
        <v>524</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525</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526</v>
      </c>
      <c r="C8" s="20"/>
      <c r="D8" s="20"/>
      <c r="E8" s="20"/>
      <c r="F8" s="20"/>
      <c r="G8" s="20"/>
      <c r="H8" s="20"/>
      <c r="I8" s="20"/>
    </row>
    <row r="9" customFormat="false" ht="16.5" hidden="false" customHeight="true" outlineLevel="0" collapsed="false">
      <c r="B9" s="20" t="s">
        <v>527</v>
      </c>
      <c r="C9" s="20"/>
      <c r="D9" s="20"/>
      <c r="E9" s="20"/>
      <c r="F9" s="20"/>
      <c r="G9" s="20"/>
      <c r="H9" s="20"/>
      <c r="I9" s="20"/>
    </row>
    <row r="10" customFormat="false" ht="16.5" hidden="false" customHeight="true" outlineLevel="0" collapsed="false">
      <c r="B10" s="20" t="s">
        <v>528</v>
      </c>
      <c r="C10" s="20"/>
      <c r="D10" s="20"/>
      <c r="E10" s="20"/>
      <c r="F10" s="20"/>
      <c r="G10" s="20"/>
      <c r="H10" s="20"/>
      <c r="I10" s="20"/>
    </row>
    <row r="11" customFormat="false" ht="16.5" hidden="false" customHeight="true" outlineLevel="0" collapsed="false">
      <c r="B11" s="20" t="s">
        <v>529</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530</v>
      </c>
      <c r="C15" s="29" t="n">
        <v>100.8</v>
      </c>
    </row>
    <row r="16" customFormat="false" ht="15" hidden="false" customHeight="false" outlineLevel="0" collapsed="false">
      <c r="B16" s="14" t="s">
        <v>531</v>
      </c>
      <c r="C16" s="29" t="n">
        <v>102.1</v>
      </c>
    </row>
    <row r="17" customFormat="false" ht="15" hidden="false" customHeight="false" outlineLevel="0" collapsed="false">
      <c r="B17" s="14" t="s">
        <v>532</v>
      </c>
      <c r="C17" s="29" t="n">
        <v>99.3</v>
      </c>
    </row>
    <row r="18" customFormat="false" ht="15" hidden="false" customHeight="false" outlineLevel="0" collapsed="false">
      <c r="B18" s="14" t="s">
        <v>533</v>
      </c>
      <c r="C18" s="30" t="n">
        <v>0.005</v>
      </c>
    </row>
    <row r="19" customFormat="false" ht="15" hidden="false" customHeight="false" outlineLevel="0" collapsed="false">
      <c r="B19" s="14" t="s">
        <v>534</v>
      </c>
      <c r="C19" s="30" t="n">
        <v>0.01</v>
      </c>
    </row>
    <row r="21" customFormat="false" ht="15" hidden="false" customHeight="false" outlineLevel="0" collapsed="false">
      <c r="B21" s="33" t="s">
        <v>201</v>
      </c>
      <c r="C21" s="34"/>
      <c r="D21" s="34"/>
      <c r="E21" s="34"/>
      <c r="F21" s="34"/>
      <c r="G21" s="34"/>
      <c r="H21" s="34"/>
      <c r="I21" s="34"/>
    </row>
    <row r="22" customFormat="false" ht="15" hidden="false" customHeight="false" outlineLevel="0" collapsed="false">
      <c r="B22" s="22" t="s">
        <v>535</v>
      </c>
      <c r="C22" s="47"/>
    </row>
    <row r="23" customFormat="false" ht="15" hidden="false" customHeight="false" outlineLevel="0" collapsed="false">
      <c r="B23" s="22" t="s">
        <v>536</v>
      </c>
      <c r="C23" s="43"/>
    </row>
    <row r="24" customFormat="false" ht="15" hidden="false" customHeight="false" outlineLevel="0" collapsed="false">
      <c r="B24" s="14" t="s">
        <v>537</v>
      </c>
      <c r="C24" s="36"/>
    </row>
    <row r="25" customFormat="false" ht="15" hidden="false" customHeight="false" outlineLevel="0" collapsed="false">
      <c r="B25" s="14" t="s">
        <v>538</v>
      </c>
      <c r="C25" s="45"/>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539</v>
      </c>
      <c r="I1" s="17" t="s">
        <v>126</v>
      </c>
    </row>
    <row r="3" customFormat="false" ht="15" hidden="false" customHeight="false" outlineLevel="0" collapsed="false">
      <c r="B3" s="18" t="s">
        <v>127</v>
      </c>
      <c r="C3" s="19"/>
      <c r="D3" s="19"/>
      <c r="E3" s="19"/>
      <c r="F3" s="19"/>
      <c r="G3" s="19"/>
      <c r="H3" s="19"/>
      <c r="I3" s="19"/>
    </row>
    <row r="4" customFormat="false" ht="43.5" hidden="false" customHeight="true" outlineLevel="0" collapsed="false">
      <c r="B4" s="20" t="s">
        <v>540</v>
      </c>
      <c r="C4" s="20"/>
      <c r="D4" s="20"/>
      <c r="E4" s="20"/>
      <c r="F4" s="20"/>
      <c r="G4" s="20"/>
      <c r="H4" s="20"/>
      <c r="I4" s="20"/>
    </row>
    <row r="6" customFormat="false" ht="15" hidden="false" customHeight="false" outlineLevel="0" collapsed="false">
      <c r="B6" s="18" t="s">
        <v>129</v>
      </c>
      <c r="C6" s="19"/>
      <c r="D6" s="19"/>
      <c r="E6" s="19"/>
      <c r="F6" s="19"/>
      <c r="G6" s="19"/>
      <c r="H6" s="19"/>
      <c r="I6" s="19"/>
    </row>
    <row r="7" customFormat="false" ht="30" hidden="false" customHeight="true" outlineLevel="0" collapsed="false">
      <c r="B7" s="20" t="s">
        <v>541</v>
      </c>
      <c r="C7" s="20"/>
      <c r="D7" s="20"/>
      <c r="E7" s="20"/>
      <c r="F7" s="20"/>
      <c r="G7" s="20"/>
      <c r="H7" s="20"/>
      <c r="I7" s="20"/>
    </row>
    <row r="8" customFormat="false" ht="16.5" hidden="false" customHeight="true" outlineLevel="0" collapsed="false">
      <c r="B8" s="20" t="s">
        <v>542</v>
      </c>
      <c r="C8" s="20"/>
      <c r="D8" s="20"/>
      <c r="E8" s="20"/>
      <c r="F8" s="20"/>
      <c r="G8" s="20"/>
      <c r="H8" s="20"/>
      <c r="I8" s="20"/>
    </row>
    <row r="9" customFormat="false" ht="16.5" hidden="false" customHeight="true" outlineLevel="0" collapsed="false">
      <c r="B9" s="20" t="s">
        <v>543</v>
      </c>
      <c r="C9" s="20"/>
      <c r="D9" s="20"/>
      <c r="E9" s="20"/>
      <c r="F9" s="20"/>
      <c r="G9" s="20"/>
      <c r="H9" s="20"/>
      <c r="I9" s="20"/>
    </row>
    <row r="10" customFormat="false" ht="16.5" hidden="false" customHeight="true" outlineLevel="0" collapsed="false">
      <c r="B10" s="20" t="s">
        <v>544</v>
      </c>
      <c r="C10" s="20"/>
      <c r="D10" s="20"/>
      <c r="E10" s="20"/>
      <c r="F10" s="20"/>
      <c r="G10" s="20"/>
      <c r="H10" s="20"/>
      <c r="I10" s="20"/>
    </row>
    <row r="12" customFormat="false" ht="15" hidden="false" customHeight="false" outlineLevel="0" collapsed="false">
      <c r="B12" s="18" t="s">
        <v>134</v>
      </c>
      <c r="C12" s="19"/>
      <c r="D12" s="19"/>
      <c r="E12" s="19"/>
      <c r="F12" s="19"/>
      <c r="G12" s="19"/>
      <c r="H12" s="19"/>
      <c r="I12" s="19"/>
    </row>
    <row r="13" customFormat="false" ht="30" hidden="false" customHeight="true" outlineLevel="0" collapsed="false">
      <c r="B13" s="20" t="s">
        <v>545</v>
      </c>
      <c r="C13" s="20"/>
      <c r="D13" s="20"/>
      <c r="E13" s="20"/>
      <c r="F13" s="20"/>
      <c r="G13" s="20"/>
      <c r="H13" s="20"/>
      <c r="I13" s="20"/>
    </row>
    <row r="14" customFormat="false" ht="16.5" hidden="false" customHeight="true" outlineLevel="0" collapsed="false">
      <c r="B14" s="20" t="s">
        <v>546</v>
      </c>
      <c r="C14" s="20"/>
      <c r="D14" s="20"/>
      <c r="E14" s="20"/>
      <c r="F14" s="20"/>
      <c r="G14" s="20"/>
      <c r="H14" s="20"/>
      <c r="I14" s="20"/>
    </row>
    <row r="15" customFormat="false" ht="16.5" hidden="false" customHeight="true" outlineLevel="0" collapsed="false">
      <c r="B15" s="20" t="s">
        <v>547</v>
      </c>
      <c r="C15" s="20"/>
      <c r="D15" s="20"/>
      <c r="E15" s="20"/>
      <c r="F15" s="20"/>
      <c r="G15" s="20"/>
      <c r="H15" s="20"/>
      <c r="I15" s="20"/>
    </row>
    <row r="16" customFormat="false" ht="16.5" hidden="false" customHeight="true" outlineLevel="0" collapsed="false">
      <c r="B16" s="20" t="s">
        <v>548</v>
      </c>
      <c r="C16" s="20"/>
      <c r="D16" s="20"/>
      <c r="E16" s="20"/>
      <c r="F16" s="20"/>
      <c r="G16" s="20"/>
      <c r="H16" s="20"/>
      <c r="I16" s="20"/>
    </row>
    <row r="18" customFormat="false" ht="15" hidden="false" customHeight="false" outlineLevel="0" collapsed="false">
      <c r="B18" s="18" t="s">
        <v>139</v>
      </c>
      <c r="C18" s="19"/>
      <c r="D18" s="19"/>
      <c r="E18" s="19"/>
      <c r="F18" s="19"/>
      <c r="G18" s="19"/>
      <c r="H18" s="19"/>
      <c r="I18" s="19"/>
    </row>
    <row r="19" customFormat="false" ht="15" hidden="false" customHeight="false" outlineLevel="0" collapsed="false">
      <c r="B19" s="11" t="s">
        <v>140</v>
      </c>
      <c r="C19" s="21" t="s">
        <v>141</v>
      </c>
    </row>
    <row r="20" customFormat="false" ht="15" hidden="false" customHeight="false" outlineLevel="0" collapsed="false">
      <c r="B20" s="22" t="s">
        <v>549</v>
      </c>
      <c r="C20" s="23" t="s">
        <v>550</v>
      </c>
      <c r="D20" s="23"/>
      <c r="E20" s="23"/>
      <c r="F20" s="23"/>
      <c r="G20" s="23"/>
      <c r="H20" s="23"/>
      <c r="I20" s="23"/>
    </row>
    <row r="21" customFormat="false" ht="15" hidden="false" customHeight="false" outlineLevel="0" collapsed="false">
      <c r="B21" s="22" t="s">
        <v>551</v>
      </c>
      <c r="C21" s="23" t="s">
        <v>552</v>
      </c>
      <c r="D21" s="23"/>
      <c r="E21" s="23"/>
      <c r="F21" s="23"/>
      <c r="G21" s="23"/>
      <c r="H21" s="23"/>
      <c r="I21" s="23"/>
    </row>
    <row r="22" customFormat="false" ht="15" hidden="false" customHeight="false" outlineLevel="0" collapsed="false">
      <c r="B22" s="22" t="s">
        <v>553</v>
      </c>
      <c r="C22" s="23" t="s">
        <v>554</v>
      </c>
      <c r="D22" s="23"/>
      <c r="E22" s="23"/>
      <c r="F22" s="23"/>
      <c r="G22" s="23"/>
      <c r="H22" s="23"/>
      <c r="I22" s="23"/>
    </row>
    <row r="23" customFormat="false" ht="15" hidden="false" customHeight="false" outlineLevel="0" collapsed="false">
      <c r="B23" s="22" t="s">
        <v>555</v>
      </c>
      <c r="C23" s="23" t="s">
        <v>556</v>
      </c>
      <c r="D23" s="23"/>
      <c r="E23" s="23"/>
      <c r="F23" s="23"/>
      <c r="G23" s="23"/>
      <c r="H23" s="23"/>
      <c r="I23" s="23"/>
    </row>
    <row r="24" customFormat="false" ht="15" hidden="false" customHeight="false" outlineLevel="0" collapsed="false">
      <c r="B24" s="22" t="s">
        <v>557</v>
      </c>
      <c r="C24" s="23" t="s">
        <v>558</v>
      </c>
      <c r="D24" s="23"/>
      <c r="E24" s="23"/>
      <c r="F24" s="23"/>
      <c r="G24" s="23"/>
      <c r="H24" s="23"/>
      <c r="I24" s="23"/>
    </row>
    <row r="25" customFormat="false" ht="15" hidden="false" customHeight="false" outlineLevel="0" collapsed="false">
      <c r="B25" s="22" t="s">
        <v>559</v>
      </c>
      <c r="C25" s="23" t="s">
        <v>560</v>
      </c>
      <c r="D25" s="23"/>
      <c r="E25" s="23"/>
      <c r="F25" s="23"/>
      <c r="G25" s="23"/>
      <c r="H25" s="23"/>
      <c r="I25" s="23"/>
    </row>
    <row r="27" customFormat="false" ht="15" hidden="false" customHeight="false" outlineLevel="0" collapsed="false">
      <c r="B27" s="18" t="s">
        <v>156</v>
      </c>
      <c r="C27" s="19"/>
      <c r="D27" s="19"/>
      <c r="E27" s="19"/>
      <c r="F27" s="19"/>
      <c r="G27" s="19"/>
      <c r="H27" s="19"/>
      <c r="I27" s="19"/>
    </row>
    <row r="45" customFormat="false" ht="30" hidden="false" customHeight="true" outlineLevel="0" collapsed="false">
      <c r="B45" s="24" t="s">
        <v>561</v>
      </c>
      <c r="C45" s="24"/>
      <c r="D45" s="24"/>
      <c r="E45" s="24"/>
      <c r="F45" s="24"/>
      <c r="G45" s="24"/>
      <c r="H45" s="24"/>
      <c r="I45" s="24"/>
    </row>
    <row r="47" customFormat="false" ht="15" hidden="false" customHeight="false" outlineLevel="0" collapsed="false">
      <c r="B47" s="18" t="s">
        <v>159</v>
      </c>
      <c r="C47" s="19"/>
      <c r="D47" s="19"/>
      <c r="E47" s="19"/>
      <c r="F47" s="19"/>
      <c r="G47" s="19"/>
      <c r="H47" s="19"/>
      <c r="I47" s="19"/>
    </row>
    <row r="48" customFormat="false" ht="16.5" hidden="false" customHeight="true" outlineLevel="0" collapsed="false">
      <c r="B48" s="25" t="s">
        <v>562</v>
      </c>
      <c r="C48" s="25"/>
      <c r="D48" s="25"/>
      <c r="E48" s="25"/>
      <c r="F48" s="25"/>
      <c r="G48" s="25"/>
      <c r="H48" s="25"/>
      <c r="I48" s="25"/>
    </row>
    <row r="49" customFormat="false" ht="30" hidden="false" customHeight="true" outlineLevel="0" collapsed="false">
      <c r="B49" s="26" t="s">
        <v>563</v>
      </c>
      <c r="C49" s="26"/>
      <c r="D49" s="26"/>
      <c r="E49" s="26"/>
      <c r="F49" s="26"/>
      <c r="G49" s="26"/>
      <c r="H49" s="26"/>
      <c r="I49" s="26"/>
    </row>
    <row r="50" customFormat="false" ht="16.5" hidden="false" customHeight="true" outlineLevel="0" collapsed="false">
      <c r="B50" s="25" t="s">
        <v>564</v>
      </c>
      <c r="C50" s="25"/>
      <c r="D50" s="25"/>
      <c r="E50" s="25"/>
      <c r="F50" s="25"/>
      <c r="G50" s="25"/>
      <c r="H50" s="25"/>
      <c r="I50" s="25"/>
    </row>
    <row r="51" customFormat="false" ht="43.5" hidden="false" customHeight="true" outlineLevel="0" collapsed="false">
      <c r="B51" s="26" t="s">
        <v>565</v>
      </c>
      <c r="C51" s="26"/>
      <c r="D51" s="26"/>
      <c r="E51" s="26"/>
      <c r="F51" s="26"/>
      <c r="G51" s="26"/>
      <c r="H51" s="26"/>
      <c r="I51" s="26"/>
    </row>
    <row r="52" customFormat="false" ht="16.5" hidden="false" customHeight="true" outlineLevel="0" collapsed="false">
      <c r="B52" s="25" t="s">
        <v>566</v>
      </c>
      <c r="C52" s="25"/>
      <c r="D52" s="25"/>
      <c r="E52" s="25"/>
      <c r="F52" s="25"/>
      <c r="G52" s="25"/>
      <c r="H52" s="25"/>
      <c r="I52" s="25"/>
    </row>
    <row r="53" customFormat="false" ht="43.5" hidden="false" customHeight="true" outlineLevel="0" collapsed="false">
      <c r="B53" s="26" t="s">
        <v>567</v>
      </c>
      <c r="C53" s="26"/>
      <c r="D53" s="26"/>
      <c r="E53" s="26"/>
      <c r="F53" s="26"/>
      <c r="G53" s="26"/>
      <c r="H53" s="26"/>
      <c r="I53" s="26"/>
    </row>
    <row r="54" customFormat="false" ht="16.5" hidden="false" customHeight="true" outlineLevel="0" collapsed="false">
      <c r="B54" s="25" t="s">
        <v>568</v>
      </c>
      <c r="C54" s="25"/>
      <c r="D54" s="25"/>
      <c r="E54" s="25"/>
      <c r="F54" s="25"/>
      <c r="G54" s="25"/>
      <c r="H54" s="25"/>
      <c r="I54" s="25"/>
    </row>
    <row r="55" customFormat="false" ht="43.5" hidden="false" customHeight="true" outlineLevel="0" collapsed="false">
      <c r="B55" s="26" t="s">
        <v>569</v>
      </c>
      <c r="C55" s="26"/>
      <c r="D55" s="26"/>
      <c r="E55" s="26"/>
      <c r="F55" s="26"/>
      <c r="G55" s="26"/>
      <c r="H55" s="26"/>
      <c r="I55" s="26"/>
    </row>
    <row r="57" customFormat="false" ht="15" hidden="false" customHeight="false" outlineLevel="0" collapsed="false">
      <c r="B57" s="18" t="s">
        <v>168</v>
      </c>
      <c r="C57" s="19"/>
      <c r="D57" s="19"/>
      <c r="E57" s="19"/>
      <c r="F57" s="19"/>
      <c r="G57" s="19"/>
      <c r="H57" s="19"/>
      <c r="I57" s="19"/>
    </row>
    <row r="58" customFormat="false" ht="16.5" hidden="false" customHeight="true" outlineLevel="0" collapsed="false">
      <c r="B58" s="20" t="s">
        <v>570</v>
      </c>
      <c r="C58" s="20"/>
      <c r="D58" s="20"/>
      <c r="E58" s="20"/>
      <c r="F58" s="20"/>
      <c r="G58" s="20"/>
      <c r="H58" s="20"/>
      <c r="I58" s="20"/>
    </row>
    <row r="59" customFormat="false" ht="16.5" hidden="false" customHeight="true" outlineLevel="0" collapsed="false">
      <c r="B59" s="20" t="s">
        <v>571</v>
      </c>
      <c r="C59" s="20"/>
      <c r="D59" s="20"/>
      <c r="E59" s="20"/>
      <c r="F59" s="20"/>
      <c r="G59" s="20"/>
      <c r="H59" s="20"/>
      <c r="I59" s="20"/>
    </row>
    <row r="60" customFormat="false" ht="16.5" hidden="false" customHeight="true" outlineLevel="0" collapsed="false">
      <c r="B60" s="20" t="s">
        <v>572</v>
      </c>
      <c r="C60" s="20"/>
      <c r="D60" s="20"/>
      <c r="E60" s="20"/>
      <c r="F60" s="20"/>
      <c r="G60" s="20"/>
      <c r="H60" s="20"/>
      <c r="I60" s="20"/>
    </row>
    <row r="61" customFormat="false" ht="16.5" hidden="false" customHeight="true" outlineLevel="0" collapsed="false">
      <c r="B61" s="20" t="s">
        <v>573</v>
      </c>
      <c r="C61" s="20"/>
      <c r="D61" s="20"/>
      <c r="E61" s="20"/>
      <c r="F61" s="20"/>
      <c r="G61" s="20"/>
      <c r="H61" s="20"/>
      <c r="I61" s="20"/>
    </row>
    <row r="62" customFormat="false" ht="16.5" hidden="false" customHeight="true" outlineLevel="0" collapsed="false">
      <c r="B62" s="20" t="s">
        <v>574</v>
      </c>
      <c r="C62" s="20"/>
      <c r="D62" s="20"/>
      <c r="E62" s="20"/>
      <c r="F62" s="20"/>
      <c r="G62" s="20"/>
      <c r="H62" s="20"/>
      <c r="I62" s="20"/>
    </row>
    <row r="64" customFormat="false" ht="15" hidden="false" customHeight="false" outlineLevel="0" collapsed="false">
      <c r="B64" s="18" t="s">
        <v>174</v>
      </c>
      <c r="C64" s="19"/>
      <c r="D64" s="19"/>
      <c r="E64" s="19"/>
      <c r="F64" s="19"/>
      <c r="G64" s="19"/>
      <c r="H64" s="19"/>
      <c r="I64" s="19"/>
    </row>
    <row r="65" customFormat="false" ht="16.5" hidden="false" customHeight="true" outlineLevel="0" collapsed="false">
      <c r="B65" s="27" t="s">
        <v>575</v>
      </c>
      <c r="C65" s="27"/>
      <c r="D65" s="27"/>
      <c r="E65" s="27"/>
      <c r="F65" s="27"/>
      <c r="G65" s="27"/>
      <c r="H65" s="27"/>
      <c r="I65" s="27"/>
    </row>
    <row r="66" customFormat="false" ht="16.5" hidden="false" customHeight="true" outlineLevel="0" collapsed="false">
      <c r="B66" s="27" t="s">
        <v>576</v>
      </c>
      <c r="C66" s="27"/>
      <c r="D66" s="27"/>
      <c r="E66" s="27"/>
      <c r="F66" s="27"/>
      <c r="G66" s="27"/>
      <c r="H66" s="27"/>
      <c r="I66" s="27"/>
    </row>
    <row r="67" customFormat="false" ht="16.5" hidden="false" customHeight="true" outlineLevel="0" collapsed="false">
      <c r="B67" s="27" t="s">
        <v>577</v>
      </c>
      <c r="C67" s="27"/>
      <c r="D67" s="27"/>
      <c r="E67" s="27"/>
      <c r="F67" s="27"/>
      <c r="G67" s="27"/>
      <c r="H67" s="27"/>
      <c r="I67" s="27"/>
    </row>
    <row r="68" customFormat="false" ht="16.5" hidden="false" customHeight="true" outlineLevel="0" collapsed="false">
      <c r="B68" s="27" t="s">
        <v>578</v>
      </c>
      <c r="C68" s="27"/>
      <c r="D68" s="27"/>
      <c r="E68" s="27"/>
      <c r="F68" s="27"/>
      <c r="G68" s="27"/>
      <c r="H68" s="27"/>
      <c r="I68" s="27"/>
    </row>
    <row r="69" customFormat="false" ht="16.5" hidden="false" customHeight="true" outlineLevel="0" collapsed="false">
      <c r="B69" s="27" t="s">
        <v>579</v>
      </c>
      <c r="C69" s="27"/>
      <c r="D69" s="27"/>
      <c r="E69" s="27"/>
      <c r="F69" s="27"/>
      <c r="G69" s="27"/>
      <c r="H69" s="27"/>
      <c r="I69" s="27"/>
    </row>
  </sheetData>
  <mergeCells count="34">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B45:I45"/>
    <mergeCell ref="B48:I48"/>
    <mergeCell ref="B49:I49"/>
    <mergeCell ref="B50:I50"/>
    <mergeCell ref="B51:I51"/>
    <mergeCell ref="B52:I52"/>
    <mergeCell ref="B53:I53"/>
    <mergeCell ref="B54:I54"/>
    <mergeCell ref="B55:I55"/>
    <mergeCell ref="B58:I58"/>
    <mergeCell ref="B59:I59"/>
    <mergeCell ref="B60:I60"/>
    <mergeCell ref="B61:I61"/>
    <mergeCell ref="B62:I62"/>
    <mergeCell ref="B65:I65"/>
    <mergeCell ref="B66:I66"/>
    <mergeCell ref="B67:I67"/>
    <mergeCell ref="B68:I68"/>
    <mergeCell ref="B69:I69"/>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580</v>
      </c>
      <c r="I1" s="17" t="s">
        <v>126</v>
      </c>
    </row>
    <row r="2" customFormat="false" ht="15" hidden="false" customHeight="false" outlineLevel="0" collapsed="false">
      <c r="B2" s="28" t="s">
        <v>581</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582</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583</v>
      </c>
      <c r="C8" s="20"/>
      <c r="D8" s="20"/>
      <c r="E8" s="20"/>
      <c r="F8" s="20"/>
      <c r="G8" s="20"/>
      <c r="H8" s="20"/>
      <c r="I8" s="20"/>
    </row>
    <row r="9" customFormat="false" ht="16.5" hidden="false" customHeight="true" outlineLevel="0" collapsed="false">
      <c r="B9" s="20" t="s">
        <v>584</v>
      </c>
      <c r="C9" s="20"/>
      <c r="D9" s="20"/>
      <c r="E9" s="20"/>
      <c r="F9" s="20"/>
      <c r="G9" s="20"/>
      <c r="H9" s="20"/>
      <c r="I9" s="20"/>
    </row>
    <row r="10" customFormat="false" ht="16.5" hidden="false" customHeight="true" outlineLevel="0" collapsed="false">
      <c r="B10" s="20" t="s">
        <v>585</v>
      </c>
      <c r="C10" s="20"/>
      <c r="D10" s="20"/>
      <c r="E10" s="20"/>
      <c r="F10" s="20"/>
      <c r="G10" s="20"/>
      <c r="H10" s="20"/>
      <c r="I10" s="20"/>
    </row>
    <row r="11" customFormat="false" ht="16.5" hidden="false" customHeight="true" outlineLevel="0" collapsed="false">
      <c r="B11" s="20" t="s">
        <v>586</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587</v>
      </c>
      <c r="C15" s="29" t="n">
        <v>100</v>
      </c>
    </row>
    <row r="16" customFormat="false" ht="15" hidden="false" customHeight="false" outlineLevel="0" collapsed="false">
      <c r="B16" s="14" t="s">
        <v>588</v>
      </c>
      <c r="C16" s="30" t="n">
        <v>0.098</v>
      </c>
    </row>
    <row r="17" customFormat="false" ht="15" hidden="false" customHeight="false" outlineLevel="0" collapsed="false">
      <c r="B17" s="14" t="s">
        <v>589</v>
      </c>
      <c r="C17" s="30" t="n">
        <v>0.07</v>
      </c>
    </row>
    <row r="18" customFormat="false" ht="15" hidden="false" customHeight="false" outlineLevel="0" collapsed="false">
      <c r="B18" s="14" t="s">
        <v>590</v>
      </c>
      <c r="C18" s="30" t="n">
        <v>0.006</v>
      </c>
    </row>
    <row r="19" customFormat="false" ht="15" hidden="false" customHeight="false" outlineLevel="0" collapsed="false">
      <c r="B19" s="14" t="s">
        <v>591</v>
      </c>
      <c r="C19" s="30" t="n">
        <v>0.015</v>
      </c>
    </row>
    <row r="20" customFormat="false" ht="15" hidden="false" customHeight="false" outlineLevel="0" collapsed="false">
      <c r="B20" s="14" t="s">
        <v>592</v>
      </c>
      <c r="C20" s="46" t="n">
        <v>0.45</v>
      </c>
    </row>
    <row r="21" customFormat="false" ht="15" hidden="false" customHeight="false" outlineLevel="0" collapsed="false">
      <c r="B21" s="14" t="s">
        <v>593</v>
      </c>
      <c r="C21" s="46" t="n">
        <v>0.1</v>
      </c>
    </row>
    <row r="22" customFormat="false" ht="15" hidden="false" customHeight="false" outlineLevel="0" collapsed="false">
      <c r="B22" s="14" t="s">
        <v>594</v>
      </c>
      <c r="C22" s="29" t="n">
        <v>0</v>
      </c>
    </row>
    <row r="23" customFormat="false" ht="15" hidden="false" customHeight="false" outlineLevel="0" collapsed="false">
      <c r="B23" s="14" t="s">
        <v>595</v>
      </c>
      <c r="C23" s="29" t="n">
        <v>0</v>
      </c>
    </row>
    <row r="24" customFormat="false" ht="15" hidden="false" customHeight="false" outlineLevel="0" collapsed="false">
      <c r="B24" s="14" t="s">
        <v>596</v>
      </c>
      <c r="C24" s="29" t="n">
        <v>0</v>
      </c>
    </row>
    <row r="25" customFormat="false" ht="15" hidden="false" customHeight="false" outlineLevel="0" collapsed="false">
      <c r="B25" s="14" t="s">
        <v>597</v>
      </c>
      <c r="C25" s="46" t="n">
        <v>0.25</v>
      </c>
      <c r="D25" s="6" t="s">
        <v>598</v>
      </c>
    </row>
    <row r="26" customFormat="false" ht="15" hidden="false" customHeight="false" outlineLevel="0" collapsed="false">
      <c r="B26" s="14" t="s">
        <v>599</v>
      </c>
      <c r="C26" s="46" t="n">
        <v>0.15</v>
      </c>
      <c r="D26" s="6" t="s">
        <v>600</v>
      </c>
    </row>
    <row r="28" customFormat="false" ht="15" hidden="false" customHeight="false" outlineLevel="0" collapsed="false">
      <c r="B28" s="33" t="s">
        <v>201</v>
      </c>
      <c r="C28" s="34"/>
      <c r="D28" s="34"/>
      <c r="E28" s="34"/>
      <c r="F28" s="34"/>
      <c r="G28" s="34"/>
      <c r="H28" s="34"/>
      <c r="I28" s="34"/>
    </row>
    <row r="29" customFormat="false" ht="15" hidden="false" customHeight="false" outlineLevel="0" collapsed="false">
      <c r="B29" s="11" t="s">
        <v>601</v>
      </c>
      <c r="C29" s="21" t="s">
        <v>191</v>
      </c>
    </row>
    <row r="30" customFormat="false" ht="15" hidden="false" customHeight="false" outlineLevel="0" collapsed="false">
      <c r="B30" s="14" t="s">
        <v>602</v>
      </c>
      <c r="C30" s="35"/>
    </row>
    <row r="31" customFormat="false" ht="15" hidden="false" customHeight="false" outlineLevel="0" collapsed="false">
      <c r="B31" s="14" t="s">
        <v>603</v>
      </c>
      <c r="C31" s="35"/>
    </row>
    <row r="32" customFormat="false" ht="15" hidden="false" customHeight="false" outlineLevel="0" collapsed="false">
      <c r="B32" s="14" t="s">
        <v>604</v>
      </c>
      <c r="C32" s="35"/>
    </row>
    <row r="33" customFormat="false" ht="15" hidden="false" customHeight="false" outlineLevel="0" collapsed="false">
      <c r="B33" s="14" t="s">
        <v>605</v>
      </c>
      <c r="C33" s="35"/>
    </row>
    <row r="34" customFormat="false" ht="15" hidden="false" customHeight="false" outlineLevel="0" collapsed="false">
      <c r="B34" s="14" t="s">
        <v>606</v>
      </c>
      <c r="C34" s="35"/>
    </row>
    <row r="35" customFormat="false" ht="15" hidden="false" customHeight="false" outlineLevel="0" collapsed="false">
      <c r="B35" s="22" t="s">
        <v>607</v>
      </c>
      <c r="C35" s="35"/>
    </row>
    <row r="36" customFormat="false" ht="15" hidden="false" customHeight="false" outlineLevel="0" collapsed="false">
      <c r="B36" s="14" t="s">
        <v>608</v>
      </c>
      <c r="C36" s="35"/>
    </row>
    <row r="37" customFormat="false" ht="15" hidden="false" customHeight="false" outlineLevel="0" collapsed="false">
      <c r="B37" s="22" t="s">
        <v>609</v>
      </c>
      <c r="C37" s="35"/>
    </row>
    <row r="38" customFormat="false" ht="15" hidden="false" customHeight="false" outlineLevel="0" collapsed="false">
      <c r="B38" s="14" t="s">
        <v>610</v>
      </c>
      <c r="C38" s="35"/>
    </row>
    <row r="39" customFormat="false" ht="15" hidden="false" customHeight="false" outlineLevel="0" collapsed="false">
      <c r="B39" s="22" t="s">
        <v>549</v>
      </c>
      <c r="C39" s="36"/>
    </row>
    <row r="40" customFormat="false" ht="15" hidden="false" customHeight="false" outlineLevel="0" collapsed="false">
      <c r="B40" s="14" t="s">
        <v>611</v>
      </c>
      <c r="C40" s="35"/>
    </row>
    <row r="41" customFormat="false" ht="15" hidden="false" customHeight="false" outlineLevel="0" collapsed="false">
      <c r="B41" s="14" t="s">
        <v>612</v>
      </c>
      <c r="C41" s="45"/>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613</v>
      </c>
      <c r="I1" s="17" t="s">
        <v>126</v>
      </c>
    </row>
    <row r="2" customFormat="false" ht="15" hidden="false" customHeight="false" outlineLevel="0" collapsed="false">
      <c r="B2" s="28" t="s">
        <v>614</v>
      </c>
    </row>
    <row r="4" customFormat="false" ht="15" hidden="false" customHeight="false" outlineLevel="0" collapsed="false">
      <c r="B4" s="18" t="s">
        <v>182</v>
      </c>
      <c r="C4" s="19"/>
      <c r="D4" s="19"/>
      <c r="E4" s="19"/>
      <c r="F4" s="19"/>
      <c r="G4" s="19"/>
      <c r="H4" s="19"/>
      <c r="I4" s="19"/>
    </row>
    <row r="5" customFormat="false" ht="57" hidden="false" customHeight="true" outlineLevel="0" collapsed="false">
      <c r="B5" s="20" t="s">
        <v>615</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616</v>
      </c>
      <c r="C8" s="20"/>
      <c r="D8" s="20"/>
      <c r="E8" s="20"/>
      <c r="F8" s="20"/>
      <c r="G8" s="20"/>
      <c r="H8" s="20"/>
      <c r="I8" s="20"/>
    </row>
    <row r="9" customFormat="false" ht="16.5" hidden="false" customHeight="true" outlineLevel="0" collapsed="false">
      <c r="B9" s="20" t="s">
        <v>617</v>
      </c>
      <c r="C9" s="20"/>
      <c r="D9" s="20"/>
      <c r="E9" s="20"/>
      <c r="F9" s="20"/>
      <c r="G9" s="20"/>
      <c r="H9" s="20"/>
      <c r="I9" s="20"/>
    </row>
    <row r="10" customFormat="false" ht="16.5" hidden="false" customHeight="true" outlineLevel="0" collapsed="false">
      <c r="B10" s="20" t="s">
        <v>618</v>
      </c>
      <c r="C10" s="20"/>
      <c r="D10" s="20"/>
      <c r="E10" s="20"/>
      <c r="F10" s="20"/>
      <c r="G10" s="20"/>
      <c r="H10" s="20"/>
      <c r="I10" s="20"/>
    </row>
    <row r="11" customFormat="false" ht="16.5" hidden="false" customHeight="true" outlineLevel="0" collapsed="false">
      <c r="B11" s="20" t="s">
        <v>619</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620</v>
      </c>
      <c r="C15" s="29" t="n">
        <v>100</v>
      </c>
    </row>
    <row r="16" customFormat="false" ht="15" hidden="false" customHeight="false" outlineLevel="0" collapsed="false">
      <c r="B16" s="14" t="s">
        <v>593</v>
      </c>
      <c r="C16" s="46" t="n">
        <v>0.1</v>
      </c>
    </row>
    <row r="17" customFormat="false" ht="15" hidden="false" customHeight="false" outlineLevel="0" collapsed="false">
      <c r="B17" s="14" t="s">
        <v>589</v>
      </c>
      <c r="C17" s="30" t="n">
        <v>0.07</v>
      </c>
    </row>
    <row r="18" customFormat="false" ht="15" hidden="false" customHeight="false" outlineLevel="0" collapsed="false">
      <c r="B18" s="14" t="s">
        <v>621</v>
      </c>
      <c r="C18" s="30" t="n">
        <v>0.006</v>
      </c>
    </row>
    <row r="19" customFormat="false" ht="15" hidden="false" customHeight="false" outlineLevel="0" collapsed="false">
      <c r="B19" s="14" t="s">
        <v>622</v>
      </c>
      <c r="C19" s="30" t="n">
        <v>0.015</v>
      </c>
    </row>
    <row r="20" customFormat="false" ht="15" hidden="false" customHeight="false" outlineLevel="0" collapsed="false">
      <c r="B20" s="14" t="s">
        <v>623</v>
      </c>
      <c r="C20" s="30" t="n">
        <v>0.025</v>
      </c>
    </row>
    <row r="21" customFormat="false" ht="15" hidden="false" customHeight="false" outlineLevel="0" collapsed="false">
      <c r="B21" s="14" t="s">
        <v>624</v>
      </c>
      <c r="C21" s="46" t="n">
        <v>0.45</v>
      </c>
    </row>
    <row r="22" customFormat="false" ht="15" hidden="false" customHeight="false" outlineLevel="0" collapsed="false">
      <c r="B22" s="14" t="s">
        <v>597</v>
      </c>
      <c r="C22" s="46" t="n">
        <v>0.25</v>
      </c>
    </row>
    <row r="23" customFormat="false" ht="15" hidden="false" customHeight="false" outlineLevel="0" collapsed="false">
      <c r="B23" s="14" t="s">
        <v>625</v>
      </c>
      <c r="C23" s="46" t="n">
        <v>0.15</v>
      </c>
    </row>
    <row r="24" customFormat="false" ht="15" hidden="false" customHeight="false" outlineLevel="0" collapsed="false">
      <c r="B24" s="14" t="s">
        <v>626</v>
      </c>
      <c r="C24" s="30" t="n">
        <v>0.094</v>
      </c>
    </row>
    <row r="26" customFormat="false" ht="15" hidden="false" customHeight="false" outlineLevel="0" collapsed="false">
      <c r="B26" s="33" t="s">
        <v>201</v>
      </c>
      <c r="C26" s="34"/>
      <c r="D26" s="34"/>
      <c r="E26" s="34"/>
      <c r="F26" s="34"/>
      <c r="G26" s="34"/>
      <c r="H26" s="34"/>
      <c r="I26" s="34"/>
    </row>
    <row r="27" customFormat="false" ht="15" hidden="false" customHeight="false" outlineLevel="0" collapsed="false">
      <c r="B27" s="14" t="s">
        <v>627</v>
      </c>
      <c r="C27" s="35"/>
    </row>
    <row r="28" customFormat="false" ht="15" hidden="false" customHeight="false" outlineLevel="0" collapsed="false">
      <c r="B28" s="14" t="s">
        <v>628</v>
      </c>
      <c r="C28" s="35"/>
    </row>
    <row r="29" customFormat="false" ht="15" hidden="false" customHeight="false" outlineLevel="0" collapsed="false">
      <c r="B29" s="14" t="s">
        <v>629</v>
      </c>
      <c r="C29" s="35"/>
    </row>
    <row r="30" customFormat="false" ht="15" hidden="false" customHeight="false" outlineLevel="0" collapsed="false">
      <c r="B30" s="14" t="s">
        <v>630</v>
      </c>
      <c r="C30" s="35"/>
    </row>
    <row r="31" customFormat="false" ht="15" hidden="false" customHeight="false" outlineLevel="0" collapsed="false">
      <c r="B31" s="14" t="s">
        <v>631</v>
      </c>
      <c r="C31" s="35"/>
    </row>
    <row r="32" customFormat="false" ht="15" hidden="false" customHeight="false" outlineLevel="0" collapsed="false">
      <c r="B32" s="14" t="s">
        <v>632</v>
      </c>
      <c r="C32" s="35"/>
    </row>
    <row r="33" customFormat="false" ht="15" hidden="false" customHeight="false" outlineLevel="0" collapsed="false">
      <c r="B33" s="14" t="s">
        <v>633</v>
      </c>
      <c r="C33" s="35"/>
    </row>
    <row r="34" customFormat="false" ht="15" hidden="false" customHeight="false" outlineLevel="0" collapsed="false">
      <c r="B34" s="22" t="s">
        <v>634</v>
      </c>
      <c r="C34" s="54"/>
    </row>
    <row r="35" customFormat="false" ht="15" hidden="false" customHeight="false" outlineLevel="0" collapsed="false">
      <c r="B35" s="14" t="s">
        <v>635</v>
      </c>
      <c r="C35" s="35"/>
    </row>
    <row r="36" customFormat="false" ht="15" hidden="false" customHeight="false" outlineLevel="0" collapsed="false">
      <c r="B36" s="14" t="s">
        <v>636</v>
      </c>
      <c r="C36" s="54"/>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637</v>
      </c>
      <c r="I1" s="17" t="s">
        <v>126</v>
      </c>
    </row>
    <row r="2" customFormat="false" ht="15" hidden="false" customHeight="false" outlineLevel="0" collapsed="false">
      <c r="B2" s="28" t="s">
        <v>638</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639</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640</v>
      </c>
      <c r="C8" s="20"/>
      <c r="D8" s="20"/>
      <c r="E8" s="20"/>
      <c r="F8" s="20"/>
      <c r="G8" s="20"/>
      <c r="H8" s="20"/>
      <c r="I8" s="20"/>
    </row>
    <row r="9" customFormat="false" ht="16.5" hidden="false" customHeight="true" outlineLevel="0" collapsed="false">
      <c r="B9" s="20" t="s">
        <v>641</v>
      </c>
      <c r="C9" s="20"/>
      <c r="D9" s="20"/>
      <c r="E9" s="20"/>
      <c r="F9" s="20"/>
      <c r="G9" s="20"/>
      <c r="H9" s="20"/>
      <c r="I9" s="20"/>
    </row>
    <row r="10" customFormat="false" ht="16.5" hidden="false" customHeight="true" outlineLevel="0" collapsed="false">
      <c r="B10" s="20" t="s">
        <v>642</v>
      </c>
      <c r="C10" s="20"/>
      <c r="D10" s="20"/>
      <c r="E10" s="20"/>
      <c r="F10" s="20"/>
      <c r="G10" s="20"/>
      <c r="H10" s="20"/>
      <c r="I10" s="20"/>
    </row>
    <row r="12" customFormat="false" ht="15" hidden="false" customHeight="false" outlineLevel="0" collapsed="false">
      <c r="B12" s="18" t="s">
        <v>189</v>
      </c>
      <c r="C12" s="19"/>
      <c r="D12" s="19"/>
      <c r="E12" s="19"/>
      <c r="F12" s="19"/>
      <c r="G12" s="19"/>
      <c r="H12" s="19"/>
      <c r="I12" s="19"/>
    </row>
    <row r="13" customFormat="false" ht="15" hidden="false" customHeight="false" outlineLevel="0" collapsed="false">
      <c r="B13" s="11" t="s">
        <v>190</v>
      </c>
      <c r="C13" s="21" t="s">
        <v>643</v>
      </c>
      <c r="D13" s="21" t="s">
        <v>644</v>
      </c>
    </row>
    <row r="14" customFormat="false" ht="15" hidden="false" customHeight="false" outlineLevel="0" collapsed="false">
      <c r="B14" s="14" t="s">
        <v>587</v>
      </c>
      <c r="C14" s="29" t="n">
        <v>200</v>
      </c>
      <c r="D14" s="29" t="n">
        <v>50</v>
      </c>
    </row>
    <row r="15" customFormat="false" ht="15" hidden="false" customHeight="false" outlineLevel="0" collapsed="false">
      <c r="B15" s="14" t="s">
        <v>588</v>
      </c>
      <c r="C15" s="30" t="n">
        <v>0.086</v>
      </c>
      <c r="D15" s="30" t="n">
        <v>0.12</v>
      </c>
    </row>
    <row r="16" customFormat="false" ht="15" hidden="false" customHeight="false" outlineLevel="0" collapsed="false">
      <c r="B16" s="14" t="s">
        <v>589</v>
      </c>
      <c r="C16" s="30" t="n">
        <v>0.07</v>
      </c>
      <c r="D16" s="30" t="n">
        <v>0.07</v>
      </c>
    </row>
    <row r="17" customFormat="false" ht="15" hidden="false" customHeight="false" outlineLevel="0" collapsed="false">
      <c r="B17" s="14" t="s">
        <v>590</v>
      </c>
      <c r="C17" s="30" t="n">
        <v>0.003</v>
      </c>
      <c r="D17" s="30" t="n">
        <v>0.012</v>
      </c>
    </row>
    <row r="18" customFormat="false" ht="15" hidden="false" customHeight="false" outlineLevel="0" collapsed="false">
      <c r="B18" s="14" t="s">
        <v>591</v>
      </c>
      <c r="C18" s="30" t="n">
        <v>0.003</v>
      </c>
      <c r="D18" s="30" t="n">
        <v>0.035</v>
      </c>
    </row>
    <row r="19" customFormat="false" ht="15" hidden="false" customHeight="false" outlineLevel="0" collapsed="false">
      <c r="B19" s="14" t="s">
        <v>592</v>
      </c>
      <c r="C19" s="46" t="n">
        <v>0.4</v>
      </c>
      <c r="D19" s="46" t="n">
        <v>0.55</v>
      </c>
    </row>
    <row r="20" customFormat="false" ht="15" hidden="false" customHeight="false" outlineLevel="0" collapsed="false">
      <c r="B20" s="14" t="s">
        <v>593</v>
      </c>
      <c r="C20" s="46" t="n">
        <v>0.05</v>
      </c>
      <c r="D20" s="46" t="n">
        <v>0.12</v>
      </c>
    </row>
    <row r="21" customFormat="false" ht="15" hidden="false" customHeight="false" outlineLevel="0" collapsed="false">
      <c r="B21" s="14" t="s">
        <v>594</v>
      </c>
      <c r="C21" s="29" t="n">
        <v>0</v>
      </c>
      <c r="D21" s="29" t="n">
        <v>0</v>
      </c>
    </row>
    <row r="22" customFormat="false" ht="15" hidden="false" customHeight="false" outlineLevel="0" collapsed="false">
      <c r="B22" s="14" t="s">
        <v>595</v>
      </c>
      <c r="C22" s="29" t="n">
        <v>0</v>
      </c>
      <c r="D22" s="29" t="n">
        <v>0</v>
      </c>
    </row>
    <row r="23" customFormat="false" ht="15" hidden="false" customHeight="false" outlineLevel="0" collapsed="false">
      <c r="B23" s="14" t="s">
        <v>596</v>
      </c>
      <c r="C23" s="29" t="n">
        <v>0</v>
      </c>
      <c r="D23" s="29" t="n">
        <v>0</v>
      </c>
    </row>
    <row r="24" customFormat="false" ht="15" hidden="false" customHeight="false" outlineLevel="0" collapsed="false">
      <c r="B24" s="14" t="s">
        <v>597</v>
      </c>
      <c r="C24" s="46" t="n">
        <v>0.25</v>
      </c>
      <c r="E24" s="6" t="s">
        <v>598</v>
      </c>
    </row>
    <row r="25" customFormat="false" ht="15" hidden="false" customHeight="false" outlineLevel="0" collapsed="false">
      <c r="B25" s="14" t="s">
        <v>599</v>
      </c>
      <c r="C25" s="46" t="n">
        <v>0.15</v>
      </c>
      <c r="E25" s="6" t="s">
        <v>600</v>
      </c>
    </row>
    <row r="27" customFormat="false" ht="15" hidden="false" customHeight="false" outlineLevel="0" collapsed="false">
      <c r="B27" s="33" t="s">
        <v>201</v>
      </c>
      <c r="C27" s="34"/>
      <c r="D27" s="34"/>
      <c r="E27" s="34"/>
      <c r="F27" s="34"/>
      <c r="G27" s="34"/>
      <c r="H27" s="34"/>
      <c r="I27" s="34"/>
    </row>
    <row r="28" customFormat="false" ht="15" hidden="false" customHeight="false" outlineLevel="0" collapsed="false">
      <c r="B28" s="11" t="s">
        <v>601</v>
      </c>
      <c r="C28" s="21" t="s">
        <v>643</v>
      </c>
      <c r="D28" s="21" t="s">
        <v>644</v>
      </c>
    </row>
    <row r="29" customFormat="false" ht="15" hidden="false" customHeight="false" outlineLevel="0" collapsed="false">
      <c r="B29" s="14" t="s">
        <v>602</v>
      </c>
      <c r="C29" s="35"/>
      <c r="D29" s="35"/>
    </row>
    <row r="30" customFormat="false" ht="15" hidden="false" customHeight="false" outlineLevel="0" collapsed="false">
      <c r="B30" s="14" t="s">
        <v>603</v>
      </c>
      <c r="C30" s="35"/>
      <c r="D30" s="35"/>
    </row>
    <row r="31" customFormat="false" ht="15" hidden="false" customHeight="false" outlineLevel="0" collapsed="false">
      <c r="B31" s="14" t="s">
        <v>604</v>
      </c>
      <c r="C31" s="35"/>
      <c r="D31" s="35"/>
    </row>
    <row r="32" customFormat="false" ht="15" hidden="false" customHeight="false" outlineLevel="0" collapsed="false">
      <c r="B32" s="14" t="s">
        <v>605</v>
      </c>
      <c r="C32" s="35"/>
      <c r="D32" s="35"/>
    </row>
    <row r="33" customFormat="false" ht="15" hidden="false" customHeight="false" outlineLevel="0" collapsed="false">
      <c r="B33" s="14" t="s">
        <v>606</v>
      </c>
      <c r="C33" s="35"/>
      <c r="D33" s="35"/>
    </row>
    <row r="34" customFormat="false" ht="15" hidden="false" customHeight="false" outlineLevel="0" collapsed="false">
      <c r="B34" s="22" t="s">
        <v>607</v>
      </c>
      <c r="C34" s="35"/>
      <c r="D34" s="35"/>
    </row>
    <row r="35" customFormat="false" ht="15" hidden="false" customHeight="false" outlineLevel="0" collapsed="false">
      <c r="B35" s="14" t="s">
        <v>608</v>
      </c>
      <c r="C35" s="35"/>
      <c r="D35" s="35"/>
    </row>
    <row r="36" customFormat="false" ht="15" hidden="false" customHeight="false" outlineLevel="0" collapsed="false">
      <c r="B36" s="22" t="s">
        <v>609</v>
      </c>
      <c r="C36" s="35"/>
      <c r="D36" s="35"/>
    </row>
    <row r="37" customFormat="false" ht="15" hidden="false" customHeight="false" outlineLevel="0" collapsed="false">
      <c r="B37" s="14" t="s">
        <v>610</v>
      </c>
      <c r="C37" s="35"/>
      <c r="D37" s="35"/>
    </row>
    <row r="38" customFormat="false" ht="15" hidden="false" customHeight="false" outlineLevel="0" collapsed="false">
      <c r="B38" s="22" t="s">
        <v>549</v>
      </c>
      <c r="C38" s="36"/>
      <c r="D38" s="36"/>
    </row>
    <row r="39" customFormat="false" ht="15" hidden="false" customHeight="false" outlineLevel="0" collapsed="false">
      <c r="B39" s="14" t="s">
        <v>611</v>
      </c>
      <c r="C39" s="35"/>
      <c r="D39" s="35"/>
    </row>
    <row r="40" customFormat="false" ht="15" hidden="false" customHeight="false" outlineLevel="0" collapsed="false">
      <c r="B40" s="14" t="s">
        <v>612</v>
      </c>
      <c r="C40" s="45"/>
      <c r="D40" s="45"/>
    </row>
  </sheetData>
  <mergeCells count="4">
    <mergeCell ref="B5:I5"/>
    <mergeCell ref="B8:I8"/>
    <mergeCell ref="B9:I9"/>
    <mergeCell ref="B10:I1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645</v>
      </c>
      <c r="I1" s="17" t="s">
        <v>126</v>
      </c>
    </row>
    <row r="2" customFormat="false" ht="15" hidden="false" customHeight="false" outlineLevel="0" collapsed="false">
      <c r="B2" s="28" t="s">
        <v>646</v>
      </c>
    </row>
    <row r="4" customFormat="false" ht="15" hidden="false" customHeight="false" outlineLevel="0" collapsed="false">
      <c r="B4" s="18" t="s">
        <v>182</v>
      </c>
      <c r="C4" s="19"/>
      <c r="D4" s="19"/>
      <c r="E4" s="19"/>
      <c r="F4" s="19"/>
      <c r="G4" s="19"/>
      <c r="H4" s="19"/>
      <c r="I4" s="19"/>
    </row>
    <row r="5" customFormat="false" ht="57" hidden="false" customHeight="true" outlineLevel="0" collapsed="false">
      <c r="B5" s="20" t="s">
        <v>647</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648</v>
      </c>
      <c r="C8" s="20"/>
      <c r="D8" s="20"/>
      <c r="E8" s="20"/>
      <c r="F8" s="20"/>
      <c r="G8" s="20"/>
      <c r="H8" s="20"/>
      <c r="I8" s="20"/>
    </row>
    <row r="9" customFormat="false" ht="16.5" hidden="false" customHeight="true" outlineLevel="0" collapsed="false">
      <c r="B9" s="20" t="s">
        <v>649</v>
      </c>
      <c r="C9" s="20"/>
      <c r="D9" s="20"/>
      <c r="E9" s="20"/>
      <c r="F9" s="20"/>
      <c r="G9" s="20"/>
      <c r="H9" s="20"/>
      <c r="I9" s="20"/>
    </row>
    <row r="10" customFormat="false" ht="16.5" hidden="false" customHeight="true" outlineLevel="0" collapsed="false">
      <c r="B10" s="20" t="s">
        <v>650</v>
      </c>
      <c r="C10" s="20"/>
      <c r="D10" s="20"/>
      <c r="E10" s="20"/>
      <c r="F10" s="20"/>
      <c r="G10" s="20"/>
      <c r="H10" s="20"/>
      <c r="I10" s="20"/>
    </row>
    <row r="11" customFormat="false" ht="16.5" hidden="false" customHeight="true" outlineLevel="0" collapsed="false">
      <c r="B11" s="20" t="s">
        <v>651</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652</v>
      </c>
      <c r="C15" s="32" t="n">
        <v>5000</v>
      </c>
    </row>
    <row r="16" customFormat="false" ht="15" hidden="false" customHeight="false" outlineLevel="0" collapsed="false">
      <c r="B16" s="14" t="s">
        <v>632</v>
      </c>
      <c r="C16" s="29" t="n">
        <v>60</v>
      </c>
    </row>
    <row r="17" customFormat="false" ht="15" hidden="false" customHeight="false" outlineLevel="0" collapsed="false">
      <c r="B17" s="14" t="s">
        <v>653</v>
      </c>
      <c r="C17" s="29" t="n">
        <v>420</v>
      </c>
    </row>
    <row r="18" customFormat="false" ht="15" hidden="false" customHeight="false" outlineLevel="0" collapsed="false">
      <c r="B18" s="14" t="s">
        <v>654</v>
      </c>
      <c r="C18" s="29" t="n">
        <v>240</v>
      </c>
    </row>
    <row r="19" customFormat="false" ht="15" hidden="false" customHeight="false" outlineLevel="0" collapsed="false">
      <c r="B19" s="14" t="s">
        <v>631</v>
      </c>
      <c r="C19" s="29" t="n">
        <v>90</v>
      </c>
    </row>
    <row r="20" customFormat="false" ht="15" hidden="false" customHeight="false" outlineLevel="0" collapsed="false">
      <c r="B20" s="14" t="s">
        <v>655</v>
      </c>
      <c r="C20" s="46" t="n">
        <v>0.7</v>
      </c>
    </row>
    <row r="21" customFormat="false" ht="15" hidden="false" customHeight="false" outlineLevel="0" collapsed="false">
      <c r="B21" s="14" t="s">
        <v>656</v>
      </c>
      <c r="C21" s="46" t="n">
        <v>0.115</v>
      </c>
    </row>
    <row r="22" customFormat="false" ht="15" hidden="false" customHeight="false" outlineLevel="0" collapsed="false">
      <c r="B22" s="14" t="s">
        <v>597</v>
      </c>
      <c r="C22" s="46" t="n">
        <v>0.25</v>
      </c>
    </row>
    <row r="23" customFormat="false" ht="15" hidden="false" customHeight="false" outlineLevel="0" collapsed="false">
      <c r="B23" s="14" t="s">
        <v>625</v>
      </c>
      <c r="C23" s="46" t="n">
        <v>0.15</v>
      </c>
    </row>
    <row r="25" customFormat="false" ht="15" hidden="false" customHeight="false" outlineLevel="0" collapsed="false">
      <c r="B25" s="33" t="s">
        <v>201</v>
      </c>
      <c r="C25" s="34"/>
      <c r="D25" s="34"/>
      <c r="E25" s="34"/>
      <c r="F25" s="34"/>
      <c r="G25" s="34"/>
      <c r="H25" s="34"/>
      <c r="I25" s="34"/>
    </row>
    <row r="26" customFormat="false" ht="15" hidden="false" customHeight="false" outlineLevel="0" collapsed="false">
      <c r="B26" s="22" t="s">
        <v>657</v>
      </c>
      <c r="C26" s="43"/>
    </row>
    <row r="27" customFormat="false" ht="15" hidden="false" customHeight="false" outlineLevel="0" collapsed="false">
      <c r="B27" s="14" t="s">
        <v>658</v>
      </c>
      <c r="C27" s="43"/>
    </row>
    <row r="28" customFormat="false" ht="15" hidden="false" customHeight="false" outlineLevel="0" collapsed="false">
      <c r="B28" s="14" t="s">
        <v>659</v>
      </c>
      <c r="C28" s="43"/>
    </row>
    <row r="29" customFormat="false" ht="15" hidden="false" customHeight="false" outlineLevel="0" collapsed="false">
      <c r="B29" s="22" t="s">
        <v>549</v>
      </c>
      <c r="C29" s="36"/>
    </row>
    <row r="30" customFormat="false" ht="15" hidden="false" customHeight="false" outlineLevel="0" collapsed="false">
      <c r="B30" s="14" t="s">
        <v>660</v>
      </c>
      <c r="C30" s="43"/>
    </row>
    <row r="31" customFormat="false" ht="15" hidden="false" customHeight="false" outlineLevel="0" collapsed="false">
      <c r="B31" s="14" t="s">
        <v>661</v>
      </c>
      <c r="C31" s="43"/>
    </row>
    <row r="32" customFormat="false" ht="15" hidden="false" customHeight="false" outlineLevel="0" collapsed="false">
      <c r="B32" s="14" t="s">
        <v>662</v>
      </c>
      <c r="C32" s="36"/>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663</v>
      </c>
      <c r="I1" s="17" t="s">
        <v>126</v>
      </c>
    </row>
    <row r="2" customFormat="false" ht="15" hidden="false" customHeight="false" outlineLevel="0" collapsed="false">
      <c r="B2" s="28" t="s">
        <v>664</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665</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666</v>
      </c>
      <c r="C8" s="20"/>
      <c r="D8" s="20"/>
      <c r="E8" s="20"/>
      <c r="F8" s="20"/>
      <c r="G8" s="20"/>
      <c r="H8" s="20"/>
      <c r="I8" s="20"/>
    </row>
    <row r="9" customFormat="false" ht="16.5" hidden="false" customHeight="true" outlineLevel="0" collapsed="false">
      <c r="B9" s="20" t="s">
        <v>667</v>
      </c>
      <c r="C9" s="20"/>
      <c r="D9" s="20"/>
      <c r="E9" s="20"/>
      <c r="F9" s="20"/>
      <c r="G9" s="20"/>
      <c r="H9" s="20"/>
      <c r="I9" s="20"/>
    </row>
    <row r="10" customFormat="false" ht="16.5" hidden="false" customHeight="true" outlineLevel="0" collapsed="false">
      <c r="B10" s="20" t="s">
        <v>668</v>
      </c>
      <c r="C10" s="20"/>
      <c r="D10" s="20"/>
      <c r="E10" s="20"/>
      <c r="F10" s="20"/>
      <c r="G10" s="20"/>
      <c r="H10" s="20"/>
      <c r="I10" s="20"/>
    </row>
    <row r="12" customFormat="false" ht="15" hidden="false" customHeight="false" outlineLevel="0" collapsed="false">
      <c r="B12" s="18" t="s">
        <v>189</v>
      </c>
      <c r="C12" s="19"/>
      <c r="D12" s="19"/>
      <c r="E12" s="19"/>
      <c r="F12" s="19"/>
      <c r="G12" s="19"/>
      <c r="H12" s="19"/>
      <c r="I12" s="19"/>
    </row>
    <row r="13" customFormat="false" ht="15" hidden="false" customHeight="false" outlineLevel="0" collapsed="false">
      <c r="B13" s="11" t="s">
        <v>190</v>
      </c>
      <c r="C13" s="21" t="s">
        <v>669</v>
      </c>
      <c r="D13" s="21" t="s">
        <v>670</v>
      </c>
    </row>
    <row r="14" customFormat="false" ht="15" hidden="false" customHeight="false" outlineLevel="0" collapsed="false">
      <c r="B14" s="14" t="s">
        <v>671</v>
      </c>
      <c r="C14" s="29" t="n">
        <v>18</v>
      </c>
      <c r="D14" s="29" t="n">
        <v>11</v>
      </c>
    </row>
    <row r="15" customFormat="false" ht="15" hidden="false" customHeight="false" outlineLevel="0" collapsed="false">
      <c r="B15" s="14" t="s">
        <v>672</v>
      </c>
      <c r="C15" s="29" t="n">
        <v>9</v>
      </c>
      <c r="D15" s="29" t="n">
        <v>5</v>
      </c>
    </row>
    <row r="16" customFormat="false" ht="15" hidden="false" customHeight="false" outlineLevel="0" collapsed="false">
      <c r="B16" s="14" t="s">
        <v>203</v>
      </c>
      <c r="C16" s="29" t="n">
        <v>2</v>
      </c>
      <c r="D16" s="29" t="n">
        <v>0.9</v>
      </c>
    </row>
    <row r="17" customFormat="false" ht="15" hidden="false" customHeight="false" outlineLevel="0" collapsed="false">
      <c r="B17" s="14" t="s">
        <v>673</v>
      </c>
      <c r="C17" s="32" t="n">
        <v>250</v>
      </c>
      <c r="E17" s="6" t="s">
        <v>674</v>
      </c>
    </row>
    <row r="18" customFormat="false" ht="15" hidden="false" customHeight="false" outlineLevel="0" collapsed="false">
      <c r="B18" s="14" t="s">
        <v>597</v>
      </c>
      <c r="C18" s="46" t="n">
        <v>0.25</v>
      </c>
    </row>
    <row r="19" customFormat="false" ht="15" hidden="false" customHeight="false" outlineLevel="0" collapsed="false">
      <c r="B19" s="14" t="s">
        <v>625</v>
      </c>
      <c r="C19" s="46" t="n">
        <v>0.15</v>
      </c>
    </row>
    <row r="21" customFormat="false" ht="15" hidden="false" customHeight="false" outlineLevel="0" collapsed="false">
      <c r="B21" s="33" t="s">
        <v>201</v>
      </c>
      <c r="C21" s="34"/>
      <c r="D21" s="34"/>
      <c r="E21" s="34"/>
      <c r="F21" s="34"/>
      <c r="G21" s="34"/>
      <c r="H21" s="34"/>
      <c r="I21" s="34"/>
    </row>
    <row r="22" customFormat="false" ht="15" hidden="false" customHeight="false" outlineLevel="0" collapsed="false">
      <c r="B22" s="11" t="s">
        <v>601</v>
      </c>
      <c r="C22" s="21" t="s">
        <v>669</v>
      </c>
      <c r="D22" s="21" t="s">
        <v>670</v>
      </c>
    </row>
    <row r="23" customFormat="false" ht="15" hidden="false" customHeight="false" outlineLevel="0" collapsed="false">
      <c r="B23" s="14" t="s">
        <v>675</v>
      </c>
      <c r="C23" s="35"/>
      <c r="D23" s="35"/>
    </row>
    <row r="24" customFormat="false" ht="15" hidden="false" customHeight="false" outlineLevel="0" collapsed="false">
      <c r="B24" s="14" t="s">
        <v>676</v>
      </c>
      <c r="C24" s="35"/>
      <c r="D24" s="35"/>
    </row>
    <row r="25" customFormat="false" ht="15" hidden="false" customHeight="false" outlineLevel="0" collapsed="false">
      <c r="B25" s="14" t="s">
        <v>677</v>
      </c>
      <c r="C25" s="35"/>
      <c r="D25" s="35"/>
    </row>
    <row r="26" customFormat="false" ht="15" hidden="false" customHeight="false" outlineLevel="0" collapsed="false">
      <c r="B26" s="22" t="s">
        <v>549</v>
      </c>
      <c r="C26" s="36"/>
      <c r="D26" s="36"/>
    </row>
    <row r="27" customFormat="false" ht="15" hidden="false" customHeight="false" outlineLevel="0" collapsed="false">
      <c r="B27" s="14" t="s">
        <v>678</v>
      </c>
      <c r="C27" s="35"/>
      <c r="D27" s="35"/>
    </row>
  </sheetData>
  <mergeCells count="4">
    <mergeCell ref="B5:I5"/>
    <mergeCell ref="B8:I8"/>
    <mergeCell ref="B9:I9"/>
    <mergeCell ref="B10:I1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679</v>
      </c>
      <c r="I1" s="17" t="s">
        <v>126</v>
      </c>
    </row>
    <row r="2" customFormat="false" ht="15" hidden="false" customHeight="false" outlineLevel="0" collapsed="false">
      <c r="B2" s="28" t="s">
        <v>680</v>
      </c>
    </row>
    <row r="4" customFormat="false" ht="15" hidden="false" customHeight="false" outlineLevel="0" collapsed="false">
      <c r="B4" s="18" t="s">
        <v>182</v>
      </c>
      <c r="C4" s="19"/>
      <c r="D4" s="19"/>
      <c r="E4" s="19"/>
      <c r="F4" s="19"/>
      <c r="G4" s="19"/>
      <c r="H4" s="19"/>
      <c r="I4" s="19"/>
    </row>
    <row r="5" customFormat="false" ht="57" hidden="false" customHeight="true" outlineLevel="0" collapsed="false">
      <c r="B5" s="20" t="s">
        <v>681</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682</v>
      </c>
      <c r="C8" s="20"/>
      <c r="D8" s="20"/>
      <c r="E8" s="20"/>
      <c r="F8" s="20"/>
      <c r="G8" s="20"/>
      <c r="H8" s="20"/>
      <c r="I8" s="20"/>
    </row>
    <row r="9" customFormat="false" ht="16.5" hidden="false" customHeight="true" outlineLevel="0" collapsed="false">
      <c r="B9" s="20" t="s">
        <v>683</v>
      </c>
      <c r="C9" s="20"/>
      <c r="D9" s="20"/>
      <c r="E9" s="20"/>
      <c r="F9" s="20"/>
      <c r="G9" s="20"/>
      <c r="H9" s="20"/>
      <c r="I9" s="20"/>
    </row>
    <row r="10" customFormat="false" ht="16.5" hidden="false" customHeight="true" outlineLevel="0" collapsed="false">
      <c r="B10" s="20" t="s">
        <v>684</v>
      </c>
      <c r="C10" s="20"/>
      <c r="D10" s="20"/>
      <c r="E10" s="20"/>
      <c r="F10" s="20"/>
      <c r="G10" s="20"/>
      <c r="H10" s="20"/>
      <c r="I10" s="20"/>
    </row>
    <row r="12" customFormat="false" ht="15" hidden="false" customHeight="false" outlineLevel="0" collapsed="false">
      <c r="B12" s="18" t="s">
        <v>189</v>
      </c>
      <c r="C12" s="19"/>
      <c r="D12" s="19"/>
      <c r="E12" s="19"/>
      <c r="F12" s="19"/>
      <c r="G12" s="19"/>
      <c r="H12" s="19"/>
      <c r="I12" s="19"/>
    </row>
    <row r="13" customFormat="false" ht="15" hidden="false" customHeight="false" outlineLevel="0" collapsed="false">
      <c r="B13" s="11" t="s">
        <v>190</v>
      </c>
      <c r="C13" s="21" t="s">
        <v>685</v>
      </c>
      <c r="D13" s="21" t="s">
        <v>686</v>
      </c>
    </row>
    <row r="14" customFormat="false" ht="15" hidden="false" customHeight="false" outlineLevel="0" collapsed="false">
      <c r="B14" s="14" t="s">
        <v>587</v>
      </c>
      <c r="C14" s="29" t="n">
        <v>150</v>
      </c>
      <c r="D14" s="29" t="n">
        <v>150</v>
      </c>
    </row>
    <row r="15" customFormat="false" ht="15" hidden="false" customHeight="false" outlineLevel="0" collapsed="false">
      <c r="B15" s="14" t="s">
        <v>588</v>
      </c>
      <c r="C15" s="30" t="n">
        <v>0.089</v>
      </c>
      <c r="D15" s="30" t="n">
        <v>0.089</v>
      </c>
    </row>
    <row r="16" customFormat="false" ht="15" hidden="false" customHeight="false" outlineLevel="0" collapsed="false">
      <c r="B16" s="14" t="s">
        <v>589</v>
      </c>
      <c r="C16" s="30" t="n">
        <v>0.07</v>
      </c>
      <c r="D16" s="30" t="n">
        <v>0.07</v>
      </c>
    </row>
    <row r="17" customFormat="false" ht="15" hidden="false" customHeight="false" outlineLevel="0" collapsed="false">
      <c r="B17" s="14" t="s">
        <v>590</v>
      </c>
      <c r="C17" s="30" t="n">
        <v>0.005</v>
      </c>
      <c r="D17" s="30" t="n">
        <v>0.005</v>
      </c>
    </row>
    <row r="18" customFormat="false" ht="15" hidden="false" customHeight="false" outlineLevel="0" collapsed="false">
      <c r="B18" s="14" t="s">
        <v>591</v>
      </c>
      <c r="C18" s="30" t="n">
        <v>0.01</v>
      </c>
      <c r="D18" s="30" t="n">
        <v>0.01</v>
      </c>
    </row>
    <row r="19" customFormat="false" ht="15" hidden="false" customHeight="false" outlineLevel="0" collapsed="false">
      <c r="B19" s="14" t="s">
        <v>592</v>
      </c>
      <c r="C19" s="46" t="n">
        <v>0.45</v>
      </c>
      <c r="D19" s="46" t="n">
        <v>0.45</v>
      </c>
    </row>
    <row r="20" customFormat="false" ht="15" hidden="false" customHeight="false" outlineLevel="0" collapsed="false">
      <c r="B20" s="14" t="s">
        <v>593</v>
      </c>
      <c r="C20" s="46" t="n">
        <v>0.09</v>
      </c>
      <c r="D20" s="46" t="n">
        <v>0.09</v>
      </c>
    </row>
    <row r="21" customFormat="false" ht="15" hidden="false" customHeight="false" outlineLevel="0" collapsed="false">
      <c r="B21" s="14" t="s">
        <v>594</v>
      </c>
      <c r="C21" s="29" t="n">
        <v>0</v>
      </c>
      <c r="D21" s="29" t="n">
        <v>2</v>
      </c>
    </row>
    <row r="22" customFormat="false" ht="15" hidden="false" customHeight="false" outlineLevel="0" collapsed="false">
      <c r="B22" s="14" t="s">
        <v>595</v>
      </c>
      <c r="C22" s="29" t="n">
        <v>0</v>
      </c>
      <c r="D22" s="29" t="n">
        <v>0.4</v>
      </c>
    </row>
    <row r="23" customFormat="false" ht="15" hidden="false" customHeight="false" outlineLevel="0" collapsed="false">
      <c r="B23" s="14" t="s">
        <v>596</v>
      </c>
      <c r="C23" s="29" t="n">
        <v>0</v>
      </c>
      <c r="D23" s="29" t="n">
        <v>0.5</v>
      </c>
    </row>
    <row r="24" customFormat="false" ht="15" hidden="false" customHeight="false" outlineLevel="0" collapsed="false">
      <c r="B24" s="14" t="s">
        <v>597</v>
      </c>
      <c r="C24" s="46" t="n">
        <v>0.25</v>
      </c>
      <c r="E24" s="6" t="s">
        <v>598</v>
      </c>
    </row>
    <row r="25" customFormat="false" ht="15" hidden="false" customHeight="false" outlineLevel="0" collapsed="false">
      <c r="B25" s="14" t="s">
        <v>599</v>
      </c>
      <c r="C25" s="46" t="n">
        <v>0.15</v>
      </c>
      <c r="E25" s="6" t="s">
        <v>600</v>
      </c>
    </row>
    <row r="27" customFormat="false" ht="15" hidden="false" customHeight="false" outlineLevel="0" collapsed="false">
      <c r="B27" s="33" t="s">
        <v>201</v>
      </c>
      <c r="C27" s="34"/>
      <c r="D27" s="34"/>
      <c r="E27" s="34"/>
      <c r="F27" s="34"/>
      <c r="G27" s="34"/>
      <c r="H27" s="34"/>
      <c r="I27" s="34"/>
    </row>
    <row r="28" customFormat="false" ht="15" hidden="false" customHeight="false" outlineLevel="0" collapsed="false">
      <c r="B28" s="11" t="s">
        <v>601</v>
      </c>
      <c r="C28" s="21" t="s">
        <v>685</v>
      </c>
      <c r="D28" s="21" t="s">
        <v>686</v>
      </c>
    </row>
    <row r="29" customFormat="false" ht="15" hidden="false" customHeight="false" outlineLevel="0" collapsed="false">
      <c r="B29" s="14" t="s">
        <v>602</v>
      </c>
      <c r="C29" s="35"/>
      <c r="D29" s="35"/>
    </row>
    <row r="30" customFormat="false" ht="15" hidden="false" customHeight="false" outlineLevel="0" collapsed="false">
      <c r="B30" s="14" t="s">
        <v>603</v>
      </c>
      <c r="C30" s="35"/>
      <c r="D30" s="35"/>
    </row>
    <row r="31" customFormat="false" ht="15" hidden="false" customHeight="false" outlineLevel="0" collapsed="false">
      <c r="B31" s="14" t="s">
        <v>604</v>
      </c>
      <c r="C31" s="35"/>
      <c r="D31" s="35"/>
    </row>
    <row r="32" customFormat="false" ht="15" hidden="false" customHeight="false" outlineLevel="0" collapsed="false">
      <c r="B32" s="14" t="s">
        <v>605</v>
      </c>
      <c r="C32" s="35"/>
      <c r="D32" s="35"/>
    </row>
    <row r="33" customFormat="false" ht="15" hidden="false" customHeight="false" outlineLevel="0" collapsed="false">
      <c r="B33" s="14" t="s">
        <v>606</v>
      </c>
      <c r="C33" s="35"/>
      <c r="D33" s="35"/>
    </row>
    <row r="34" customFormat="false" ht="15" hidden="false" customHeight="false" outlineLevel="0" collapsed="false">
      <c r="B34" s="22" t="s">
        <v>607</v>
      </c>
      <c r="C34" s="35"/>
      <c r="D34" s="35"/>
    </row>
    <row r="35" customFormat="false" ht="15" hidden="false" customHeight="false" outlineLevel="0" collapsed="false">
      <c r="B35" s="14" t="s">
        <v>608</v>
      </c>
      <c r="C35" s="35"/>
      <c r="D35" s="35"/>
    </row>
    <row r="36" customFormat="false" ht="15" hidden="false" customHeight="false" outlineLevel="0" collapsed="false">
      <c r="B36" s="22" t="s">
        <v>609</v>
      </c>
      <c r="C36" s="35"/>
      <c r="D36" s="35"/>
    </row>
    <row r="37" customFormat="false" ht="15" hidden="false" customHeight="false" outlineLevel="0" collapsed="false">
      <c r="B37" s="14" t="s">
        <v>610</v>
      </c>
      <c r="C37" s="35"/>
      <c r="D37" s="35"/>
    </row>
    <row r="38" customFormat="false" ht="15" hidden="false" customHeight="false" outlineLevel="0" collapsed="false">
      <c r="B38" s="22" t="s">
        <v>549</v>
      </c>
      <c r="C38" s="36"/>
      <c r="D38" s="36"/>
    </row>
    <row r="39" customFormat="false" ht="15" hidden="false" customHeight="false" outlineLevel="0" collapsed="false">
      <c r="B39" s="14" t="s">
        <v>611</v>
      </c>
      <c r="C39" s="35"/>
      <c r="D39" s="35"/>
    </row>
    <row r="40" customFormat="false" ht="15" hidden="false" customHeight="false" outlineLevel="0" collapsed="false">
      <c r="B40" s="14" t="s">
        <v>612</v>
      </c>
      <c r="C40" s="45"/>
      <c r="D40" s="45"/>
    </row>
  </sheetData>
  <mergeCells count="4">
    <mergeCell ref="B5:I5"/>
    <mergeCell ref="B8:I8"/>
    <mergeCell ref="B9:I9"/>
    <mergeCell ref="B10:I1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687</v>
      </c>
      <c r="I1" s="17" t="s">
        <v>126</v>
      </c>
    </row>
    <row r="2" customFormat="false" ht="15" hidden="false" customHeight="false" outlineLevel="0" collapsed="false">
      <c r="B2" s="28" t="s">
        <v>688</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689</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690</v>
      </c>
      <c r="C8" s="20"/>
      <c r="D8" s="20"/>
      <c r="E8" s="20"/>
      <c r="F8" s="20"/>
      <c r="G8" s="20"/>
      <c r="H8" s="20"/>
      <c r="I8" s="20"/>
    </row>
    <row r="9" customFormat="false" ht="16.5" hidden="false" customHeight="true" outlineLevel="0" collapsed="false">
      <c r="B9" s="20" t="s">
        <v>691</v>
      </c>
      <c r="C9" s="20"/>
      <c r="D9" s="20"/>
      <c r="E9" s="20"/>
      <c r="F9" s="20"/>
      <c r="G9" s="20"/>
      <c r="H9" s="20"/>
      <c r="I9" s="20"/>
    </row>
    <row r="10" customFormat="false" ht="16.5" hidden="false" customHeight="true" outlineLevel="0" collapsed="false">
      <c r="B10" s="20" t="s">
        <v>692</v>
      </c>
      <c r="C10" s="20"/>
      <c r="D10" s="20"/>
      <c r="E10" s="20"/>
      <c r="F10" s="20"/>
      <c r="G10" s="20"/>
      <c r="H10" s="20"/>
      <c r="I10" s="20"/>
    </row>
    <row r="11" customFormat="false" ht="16.5" hidden="false" customHeight="true" outlineLevel="0" collapsed="false">
      <c r="B11" s="20" t="s">
        <v>693</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694</v>
      </c>
      <c r="C15" s="32" t="n">
        <v>1000</v>
      </c>
    </row>
    <row r="16" customFormat="false" ht="15" hidden="false" customHeight="false" outlineLevel="0" collapsed="false">
      <c r="B16" s="14" t="s">
        <v>625</v>
      </c>
      <c r="C16" s="46" t="n">
        <v>0.15</v>
      </c>
    </row>
    <row r="18" customFormat="false" ht="15" hidden="false" customHeight="false" outlineLevel="0" collapsed="false">
      <c r="B18" s="11" t="s">
        <v>695</v>
      </c>
      <c r="C18" s="21" t="s">
        <v>696</v>
      </c>
      <c r="D18" s="21" t="s">
        <v>697</v>
      </c>
    </row>
    <row r="19" customFormat="false" ht="15" hidden="false" customHeight="false" outlineLevel="0" collapsed="false">
      <c r="B19" s="14" t="s">
        <v>698</v>
      </c>
      <c r="C19" s="55" t="n">
        <v>400</v>
      </c>
      <c r="D19" s="42" t="n">
        <v>70</v>
      </c>
    </row>
    <row r="20" customFormat="false" ht="15" hidden="false" customHeight="false" outlineLevel="0" collapsed="false">
      <c r="B20" s="14" t="s">
        <v>699</v>
      </c>
      <c r="C20" s="55" t="n">
        <v>600</v>
      </c>
      <c r="D20" s="42" t="n">
        <v>85</v>
      </c>
    </row>
    <row r="21" customFormat="false" ht="15" hidden="false" customHeight="false" outlineLevel="0" collapsed="false">
      <c r="B21" s="14" t="s">
        <v>700</v>
      </c>
      <c r="C21" s="55" t="n">
        <v>300</v>
      </c>
      <c r="D21" s="42" t="n">
        <v>50</v>
      </c>
    </row>
    <row r="23" customFormat="false" ht="15" hidden="false" customHeight="false" outlineLevel="0" collapsed="false">
      <c r="B23" s="33" t="s">
        <v>201</v>
      </c>
      <c r="C23" s="34"/>
      <c r="D23" s="34"/>
      <c r="E23" s="34"/>
      <c r="F23" s="34"/>
      <c r="G23" s="34"/>
      <c r="H23" s="34"/>
      <c r="I23" s="34"/>
    </row>
    <row r="24" customFormat="false" ht="15" hidden="false" customHeight="false" outlineLevel="0" collapsed="false">
      <c r="B24" s="14" t="s">
        <v>701</v>
      </c>
      <c r="C24" s="50"/>
    </row>
    <row r="25" customFormat="false" ht="15" hidden="false" customHeight="false" outlineLevel="0" collapsed="false">
      <c r="B25" s="14" t="s">
        <v>702</v>
      </c>
      <c r="C25" s="47"/>
    </row>
    <row r="26" customFormat="false" ht="15" hidden="false" customHeight="false" outlineLevel="0" collapsed="false">
      <c r="B26" s="14" t="s">
        <v>703</v>
      </c>
      <c r="C26" s="36"/>
    </row>
    <row r="28" customFormat="false" ht="15" hidden="false" customHeight="false" outlineLevel="0" collapsed="false">
      <c r="B28" s="11" t="s">
        <v>695</v>
      </c>
      <c r="C28" s="21" t="s">
        <v>704</v>
      </c>
      <c r="D28" s="21" t="s">
        <v>705</v>
      </c>
      <c r="E28" s="21" t="s">
        <v>706</v>
      </c>
      <c r="F28" s="21" t="s">
        <v>707</v>
      </c>
      <c r="G28" s="21" t="s">
        <v>708</v>
      </c>
    </row>
    <row r="29" customFormat="false" ht="15" hidden="false" customHeight="false" outlineLevel="0" collapsed="false">
      <c r="B29" s="14" t="str">
        <f aca="false">B19</f>
        <v>Retail Banking</v>
      </c>
      <c r="C29" s="36"/>
      <c r="D29" s="43"/>
      <c r="E29" s="36"/>
      <c r="F29" s="36"/>
      <c r="G29" s="45"/>
    </row>
    <row r="30" customFormat="false" ht="15" hidden="false" customHeight="false" outlineLevel="0" collapsed="false">
      <c r="B30" s="14" t="str">
        <f aca="false">B20</f>
        <v>Corporate Banking</v>
      </c>
      <c r="C30" s="36"/>
      <c r="D30" s="43"/>
      <c r="E30" s="36"/>
      <c r="F30" s="36"/>
      <c r="G30" s="45"/>
    </row>
    <row r="31" customFormat="false" ht="15" hidden="false" customHeight="false" outlineLevel="0" collapsed="false">
      <c r="B31" s="14" t="str">
        <f aca="false">B21</f>
        <v>Treasury</v>
      </c>
      <c r="C31" s="36"/>
      <c r="D31" s="43"/>
      <c r="E31" s="36"/>
      <c r="F31" s="36"/>
      <c r="G31" s="45"/>
    </row>
    <row r="33" customFormat="false" ht="15" hidden="false" customHeight="false" outlineLevel="0" collapsed="false">
      <c r="B33" s="39" t="s">
        <v>251</v>
      </c>
      <c r="C33" s="40"/>
      <c r="D33" s="40"/>
      <c r="E33" s="40"/>
      <c r="F33" s="40"/>
      <c r="G33" s="40"/>
      <c r="H33" s="40"/>
      <c r="I33" s="40"/>
    </row>
    <row r="34" customFormat="false" ht="16.5" hidden="false" customHeight="true" outlineLevel="0" collapsed="false">
      <c r="B34" s="24" t="s">
        <v>709</v>
      </c>
      <c r="C34" s="24"/>
      <c r="D34" s="24"/>
      <c r="E34" s="24"/>
      <c r="F34" s="24"/>
      <c r="G34" s="24"/>
      <c r="H34" s="24"/>
      <c r="I34" s="24"/>
    </row>
  </sheetData>
  <mergeCells count="6">
    <mergeCell ref="B5:I5"/>
    <mergeCell ref="B8:I8"/>
    <mergeCell ref="B9:I9"/>
    <mergeCell ref="B10:I10"/>
    <mergeCell ref="B11:I11"/>
    <mergeCell ref="B34:I3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710</v>
      </c>
      <c r="I1" s="17" t="s">
        <v>126</v>
      </c>
    </row>
    <row r="2" customFormat="false" ht="15" hidden="false" customHeight="false" outlineLevel="0" collapsed="false">
      <c r="B2" s="28" t="s">
        <v>711</v>
      </c>
    </row>
    <row r="4" customFormat="false" ht="15" hidden="false" customHeight="false" outlineLevel="0" collapsed="false">
      <c r="B4" s="18" t="s">
        <v>182</v>
      </c>
      <c r="C4" s="19"/>
      <c r="D4" s="19"/>
      <c r="E4" s="19"/>
      <c r="F4" s="19"/>
      <c r="G4" s="19"/>
      <c r="H4" s="19"/>
      <c r="I4" s="19"/>
    </row>
    <row r="5" customFormat="false" ht="57" hidden="false" customHeight="true" outlineLevel="0" collapsed="false">
      <c r="B5" s="20" t="s">
        <v>712</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713</v>
      </c>
      <c r="C8" s="20"/>
      <c r="D8" s="20"/>
      <c r="E8" s="20"/>
      <c r="F8" s="20"/>
      <c r="G8" s="20"/>
      <c r="H8" s="20"/>
      <c r="I8" s="20"/>
    </row>
    <row r="9" customFormat="false" ht="16.5" hidden="false" customHeight="true" outlineLevel="0" collapsed="false">
      <c r="B9" s="20" t="s">
        <v>714</v>
      </c>
      <c r="C9" s="20"/>
      <c r="D9" s="20"/>
      <c r="E9" s="20"/>
      <c r="F9" s="20"/>
      <c r="G9" s="20"/>
      <c r="H9" s="20"/>
      <c r="I9" s="20"/>
    </row>
    <row r="10" customFormat="false" ht="16.5" hidden="false" customHeight="true" outlineLevel="0" collapsed="false">
      <c r="B10" s="20" t="s">
        <v>715</v>
      </c>
      <c r="C10" s="20"/>
      <c r="D10" s="20"/>
      <c r="E10" s="20"/>
      <c r="F10" s="20"/>
      <c r="G10" s="20"/>
      <c r="H10" s="20"/>
      <c r="I10" s="20"/>
    </row>
    <row r="12" customFormat="false" ht="15" hidden="false" customHeight="false" outlineLevel="0" collapsed="false">
      <c r="B12" s="18" t="s">
        <v>189</v>
      </c>
      <c r="C12" s="19"/>
      <c r="D12" s="19"/>
      <c r="E12" s="19"/>
      <c r="F12" s="19"/>
      <c r="G12" s="19"/>
      <c r="H12" s="19"/>
      <c r="I12" s="19"/>
    </row>
    <row r="13" customFormat="false" ht="15" hidden="false" customHeight="false" outlineLevel="0" collapsed="false">
      <c r="B13" s="11" t="s">
        <v>190</v>
      </c>
      <c r="C13" s="21" t="s">
        <v>716</v>
      </c>
      <c r="D13" s="21" t="s">
        <v>717</v>
      </c>
    </row>
    <row r="14" customFormat="false" ht="15" hidden="false" customHeight="false" outlineLevel="0" collapsed="false">
      <c r="B14" s="14" t="s">
        <v>587</v>
      </c>
      <c r="C14" s="29" t="n">
        <v>80</v>
      </c>
      <c r="D14" s="29" t="n">
        <v>80</v>
      </c>
    </row>
    <row r="15" customFormat="false" ht="15" hidden="false" customHeight="false" outlineLevel="0" collapsed="false">
      <c r="B15" s="14" t="s">
        <v>588</v>
      </c>
      <c r="C15" s="30" t="n">
        <v>0.11</v>
      </c>
      <c r="D15" s="30" t="n">
        <v>0.104</v>
      </c>
    </row>
    <row r="16" customFormat="false" ht="15" hidden="false" customHeight="false" outlineLevel="0" collapsed="false">
      <c r="B16" s="14" t="s">
        <v>589</v>
      </c>
      <c r="C16" s="30" t="n">
        <v>0.07</v>
      </c>
      <c r="D16" s="30" t="n">
        <v>0.07</v>
      </c>
    </row>
    <row r="17" customFormat="false" ht="15" hidden="false" customHeight="false" outlineLevel="0" collapsed="false">
      <c r="B17" s="14" t="s">
        <v>590</v>
      </c>
      <c r="C17" s="30" t="n">
        <v>0.005</v>
      </c>
      <c r="D17" s="30" t="n">
        <v>0.007</v>
      </c>
    </row>
    <row r="18" customFormat="false" ht="15" hidden="false" customHeight="false" outlineLevel="0" collapsed="false">
      <c r="B18" s="14" t="s">
        <v>591</v>
      </c>
      <c r="C18" s="30" t="n">
        <v>0.02</v>
      </c>
      <c r="D18" s="30" t="n">
        <v>0.02</v>
      </c>
    </row>
    <row r="19" customFormat="false" ht="15" hidden="false" customHeight="false" outlineLevel="0" collapsed="false">
      <c r="B19" s="14" t="s">
        <v>592</v>
      </c>
      <c r="C19" s="46" t="n">
        <v>0.6</v>
      </c>
      <c r="D19" s="46" t="n">
        <v>0.25</v>
      </c>
    </row>
    <row r="20" customFormat="false" ht="15" hidden="false" customHeight="false" outlineLevel="0" collapsed="false">
      <c r="B20" s="14" t="s">
        <v>593</v>
      </c>
      <c r="C20" s="46" t="n">
        <v>0.12</v>
      </c>
      <c r="D20" s="46" t="n">
        <v>0.06</v>
      </c>
    </row>
    <row r="21" customFormat="false" ht="15" hidden="false" customHeight="false" outlineLevel="0" collapsed="false">
      <c r="B21" s="14" t="s">
        <v>594</v>
      </c>
      <c r="C21" s="29" t="n">
        <v>0</v>
      </c>
      <c r="D21" s="29" t="n">
        <v>0</v>
      </c>
    </row>
    <row r="22" customFormat="false" ht="15" hidden="false" customHeight="false" outlineLevel="0" collapsed="false">
      <c r="B22" s="14" t="s">
        <v>595</v>
      </c>
      <c r="C22" s="29" t="n">
        <v>0</v>
      </c>
      <c r="D22" s="29" t="n">
        <v>0</v>
      </c>
    </row>
    <row r="23" customFormat="false" ht="15" hidden="false" customHeight="false" outlineLevel="0" collapsed="false">
      <c r="B23" s="14" t="s">
        <v>596</v>
      </c>
      <c r="C23" s="29" t="n">
        <v>0</v>
      </c>
      <c r="D23" s="29" t="n">
        <v>0</v>
      </c>
    </row>
    <row r="24" customFormat="false" ht="15" hidden="false" customHeight="false" outlineLevel="0" collapsed="false">
      <c r="B24" s="14" t="s">
        <v>597</v>
      </c>
      <c r="C24" s="46" t="n">
        <v>0.25</v>
      </c>
      <c r="E24" s="6" t="s">
        <v>598</v>
      </c>
    </row>
    <row r="25" customFormat="false" ht="15" hidden="false" customHeight="false" outlineLevel="0" collapsed="false">
      <c r="B25" s="14" t="s">
        <v>599</v>
      </c>
      <c r="C25" s="46" t="n">
        <v>0.15</v>
      </c>
      <c r="E25" s="6" t="s">
        <v>600</v>
      </c>
    </row>
    <row r="27" customFormat="false" ht="15" hidden="false" customHeight="false" outlineLevel="0" collapsed="false">
      <c r="B27" s="33" t="s">
        <v>201</v>
      </c>
      <c r="C27" s="34"/>
      <c r="D27" s="34"/>
      <c r="E27" s="34"/>
      <c r="F27" s="34"/>
      <c r="G27" s="34"/>
      <c r="H27" s="34"/>
      <c r="I27" s="34"/>
    </row>
    <row r="28" customFormat="false" ht="15" hidden="false" customHeight="false" outlineLevel="0" collapsed="false">
      <c r="B28" s="11" t="s">
        <v>601</v>
      </c>
      <c r="C28" s="21" t="s">
        <v>716</v>
      </c>
      <c r="D28" s="21" t="s">
        <v>717</v>
      </c>
    </row>
    <row r="29" customFormat="false" ht="15" hidden="false" customHeight="false" outlineLevel="0" collapsed="false">
      <c r="B29" s="14" t="s">
        <v>602</v>
      </c>
      <c r="C29" s="35"/>
      <c r="D29" s="35"/>
    </row>
    <row r="30" customFormat="false" ht="15" hidden="false" customHeight="false" outlineLevel="0" collapsed="false">
      <c r="B30" s="14" t="s">
        <v>603</v>
      </c>
      <c r="C30" s="35"/>
      <c r="D30" s="35"/>
    </row>
    <row r="31" customFormat="false" ht="15" hidden="false" customHeight="false" outlineLevel="0" collapsed="false">
      <c r="B31" s="14" t="s">
        <v>604</v>
      </c>
      <c r="C31" s="35"/>
      <c r="D31" s="35"/>
    </row>
    <row r="32" customFormat="false" ht="15" hidden="false" customHeight="false" outlineLevel="0" collapsed="false">
      <c r="B32" s="14" t="s">
        <v>605</v>
      </c>
      <c r="C32" s="35"/>
      <c r="D32" s="35"/>
    </row>
    <row r="33" customFormat="false" ht="15" hidden="false" customHeight="false" outlineLevel="0" collapsed="false">
      <c r="B33" s="14" t="s">
        <v>606</v>
      </c>
      <c r="C33" s="35"/>
      <c r="D33" s="35"/>
    </row>
    <row r="34" customFormat="false" ht="15" hidden="false" customHeight="false" outlineLevel="0" collapsed="false">
      <c r="B34" s="22" t="s">
        <v>607</v>
      </c>
      <c r="C34" s="35"/>
      <c r="D34" s="35"/>
    </row>
    <row r="35" customFormat="false" ht="15" hidden="false" customHeight="false" outlineLevel="0" collapsed="false">
      <c r="B35" s="14" t="s">
        <v>608</v>
      </c>
      <c r="C35" s="35"/>
      <c r="D35" s="35"/>
    </row>
    <row r="36" customFormat="false" ht="15" hidden="false" customHeight="false" outlineLevel="0" collapsed="false">
      <c r="B36" s="22" t="s">
        <v>609</v>
      </c>
      <c r="C36" s="35"/>
      <c r="D36" s="35"/>
    </row>
    <row r="37" customFormat="false" ht="15" hidden="false" customHeight="false" outlineLevel="0" collapsed="false">
      <c r="B37" s="14" t="s">
        <v>610</v>
      </c>
      <c r="C37" s="35"/>
      <c r="D37" s="35"/>
    </row>
    <row r="38" customFormat="false" ht="15" hidden="false" customHeight="false" outlineLevel="0" collapsed="false">
      <c r="B38" s="22" t="s">
        <v>549</v>
      </c>
      <c r="C38" s="36"/>
      <c r="D38" s="36"/>
    </row>
    <row r="39" customFormat="false" ht="15" hidden="false" customHeight="false" outlineLevel="0" collapsed="false">
      <c r="B39" s="14" t="s">
        <v>611</v>
      </c>
      <c r="C39" s="35"/>
      <c r="D39" s="35"/>
    </row>
    <row r="40" customFormat="false" ht="15" hidden="false" customHeight="false" outlineLevel="0" collapsed="false">
      <c r="B40" s="14" t="s">
        <v>612</v>
      </c>
      <c r="C40" s="45"/>
      <c r="D40" s="45"/>
    </row>
  </sheetData>
  <mergeCells count="4">
    <mergeCell ref="B5:I5"/>
    <mergeCell ref="B8:I8"/>
    <mergeCell ref="B9:I9"/>
    <mergeCell ref="B10:I10"/>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718</v>
      </c>
      <c r="I1" s="17" t="s">
        <v>126</v>
      </c>
    </row>
    <row r="3" customFormat="false" ht="15" hidden="false" customHeight="false" outlineLevel="0" collapsed="false">
      <c r="B3" s="18" t="s">
        <v>127</v>
      </c>
      <c r="C3" s="19"/>
      <c r="D3" s="19"/>
      <c r="E3" s="19"/>
      <c r="F3" s="19"/>
      <c r="G3" s="19"/>
      <c r="H3" s="19"/>
      <c r="I3" s="19"/>
    </row>
    <row r="4" customFormat="false" ht="57" hidden="false" customHeight="true" outlineLevel="0" collapsed="false">
      <c r="B4" s="20" t="s">
        <v>719</v>
      </c>
      <c r="C4" s="20"/>
      <c r="D4" s="20"/>
      <c r="E4" s="20"/>
      <c r="F4" s="20"/>
      <c r="G4" s="20"/>
      <c r="H4" s="20"/>
      <c r="I4" s="20"/>
    </row>
    <row r="6" customFormat="false" ht="15" hidden="false" customHeight="false" outlineLevel="0" collapsed="false">
      <c r="B6" s="18" t="s">
        <v>129</v>
      </c>
      <c r="C6" s="19"/>
      <c r="D6" s="19"/>
      <c r="E6" s="19"/>
      <c r="F6" s="19"/>
      <c r="G6" s="19"/>
      <c r="H6" s="19"/>
      <c r="I6" s="19"/>
    </row>
    <row r="7" customFormat="false" ht="16.5" hidden="false" customHeight="true" outlineLevel="0" collapsed="false">
      <c r="B7" s="20" t="s">
        <v>720</v>
      </c>
      <c r="C7" s="20"/>
      <c r="D7" s="20"/>
      <c r="E7" s="20"/>
      <c r="F7" s="20"/>
      <c r="G7" s="20"/>
      <c r="H7" s="20"/>
      <c r="I7" s="20"/>
    </row>
    <row r="8" customFormat="false" ht="16.5" hidden="false" customHeight="true" outlineLevel="0" collapsed="false">
      <c r="B8" s="20" t="s">
        <v>721</v>
      </c>
      <c r="C8" s="20"/>
      <c r="D8" s="20"/>
      <c r="E8" s="20"/>
      <c r="F8" s="20"/>
      <c r="G8" s="20"/>
      <c r="H8" s="20"/>
      <c r="I8" s="20"/>
    </row>
    <row r="9" customFormat="false" ht="16.5" hidden="false" customHeight="true" outlineLevel="0" collapsed="false">
      <c r="B9" s="20" t="s">
        <v>722</v>
      </c>
      <c r="C9" s="20"/>
      <c r="D9" s="20"/>
      <c r="E9" s="20"/>
      <c r="F9" s="20"/>
      <c r="G9" s="20"/>
      <c r="H9" s="20"/>
      <c r="I9" s="20"/>
    </row>
    <row r="10" customFormat="false" ht="16.5" hidden="false" customHeight="true" outlineLevel="0" collapsed="false">
      <c r="B10" s="20" t="s">
        <v>723</v>
      </c>
      <c r="C10" s="20"/>
      <c r="D10" s="20"/>
      <c r="E10" s="20"/>
      <c r="F10" s="20"/>
      <c r="G10" s="20"/>
      <c r="H10" s="20"/>
      <c r="I10" s="20"/>
    </row>
    <row r="12" customFormat="false" ht="15" hidden="false" customHeight="false" outlineLevel="0" collapsed="false">
      <c r="B12" s="18" t="s">
        <v>134</v>
      </c>
      <c r="C12" s="19"/>
      <c r="D12" s="19"/>
      <c r="E12" s="19"/>
      <c r="F12" s="19"/>
      <c r="G12" s="19"/>
      <c r="H12" s="19"/>
      <c r="I12" s="19"/>
    </row>
    <row r="13" customFormat="false" ht="16.5" hidden="false" customHeight="true" outlineLevel="0" collapsed="false">
      <c r="B13" s="20" t="s">
        <v>724</v>
      </c>
      <c r="C13" s="20"/>
      <c r="D13" s="20"/>
      <c r="E13" s="20"/>
      <c r="F13" s="20"/>
      <c r="G13" s="20"/>
      <c r="H13" s="20"/>
      <c r="I13" s="20"/>
    </row>
    <row r="14" customFormat="false" ht="30" hidden="false" customHeight="true" outlineLevel="0" collapsed="false">
      <c r="B14" s="20" t="s">
        <v>725</v>
      </c>
      <c r="C14" s="20"/>
      <c r="D14" s="20"/>
      <c r="E14" s="20"/>
      <c r="F14" s="20"/>
      <c r="G14" s="20"/>
      <c r="H14" s="20"/>
      <c r="I14" s="20"/>
    </row>
    <row r="15" customFormat="false" ht="16.5" hidden="false" customHeight="true" outlineLevel="0" collapsed="false">
      <c r="B15" s="20" t="s">
        <v>726</v>
      </c>
      <c r="C15" s="20"/>
      <c r="D15" s="20"/>
      <c r="E15" s="20"/>
      <c r="F15" s="20"/>
      <c r="G15" s="20"/>
      <c r="H15" s="20"/>
      <c r="I15" s="20"/>
    </row>
    <row r="16" customFormat="false" ht="16.5" hidden="false" customHeight="true" outlineLevel="0" collapsed="false">
      <c r="B16" s="20" t="s">
        <v>727</v>
      </c>
      <c r="C16" s="20"/>
      <c r="D16" s="20"/>
      <c r="E16" s="20"/>
      <c r="F16" s="20"/>
      <c r="G16" s="20"/>
      <c r="H16" s="20"/>
      <c r="I16" s="20"/>
    </row>
    <row r="18" customFormat="false" ht="15" hidden="false" customHeight="false" outlineLevel="0" collapsed="false">
      <c r="B18" s="18" t="s">
        <v>139</v>
      </c>
      <c r="C18" s="19"/>
      <c r="D18" s="19"/>
      <c r="E18" s="19"/>
      <c r="F18" s="19"/>
      <c r="G18" s="19"/>
      <c r="H18" s="19"/>
      <c r="I18" s="19"/>
    </row>
    <row r="19" customFormat="false" ht="15" hidden="false" customHeight="false" outlineLevel="0" collapsed="false">
      <c r="B19" s="11" t="s">
        <v>140</v>
      </c>
      <c r="C19" s="21" t="s">
        <v>141</v>
      </c>
    </row>
    <row r="20" customFormat="false" ht="15" hidden="false" customHeight="false" outlineLevel="0" collapsed="false">
      <c r="B20" s="22" t="s">
        <v>728</v>
      </c>
      <c r="C20" s="23" t="s">
        <v>729</v>
      </c>
      <c r="D20" s="23"/>
      <c r="E20" s="23"/>
      <c r="F20" s="23"/>
      <c r="G20" s="23"/>
      <c r="H20" s="23"/>
      <c r="I20" s="23"/>
    </row>
    <row r="21" customFormat="false" ht="15" hidden="false" customHeight="false" outlineLevel="0" collapsed="false">
      <c r="B21" s="22" t="s">
        <v>730</v>
      </c>
      <c r="C21" s="23" t="s">
        <v>731</v>
      </c>
      <c r="D21" s="23"/>
      <c r="E21" s="23"/>
      <c r="F21" s="23"/>
      <c r="G21" s="23"/>
      <c r="H21" s="23"/>
      <c r="I21" s="23"/>
    </row>
    <row r="22" customFormat="false" ht="15" hidden="false" customHeight="false" outlineLevel="0" collapsed="false">
      <c r="B22" s="22" t="s">
        <v>732</v>
      </c>
      <c r="C22" s="23" t="s">
        <v>733</v>
      </c>
      <c r="D22" s="23"/>
      <c r="E22" s="23"/>
      <c r="F22" s="23"/>
      <c r="G22" s="23"/>
      <c r="H22" s="23"/>
      <c r="I22" s="23"/>
    </row>
    <row r="23" customFormat="false" ht="15" hidden="false" customHeight="false" outlineLevel="0" collapsed="false">
      <c r="B23" s="22" t="s">
        <v>734</v>
      </c>
      <c r="C23" s="23" t="s">
        <v>735</v>
      </c>
      <c r="D23" s="23"/>
      <c r="E23" s="23"/>
      <c r="F23" s="23"/>
      <c r="G23" s="23"/>
      <c r="H23" s="23"/>
      <c r="I23" s="23"/>
    </row>
    <row r="24" customFormat="false" ht="15" hidden="false" customHeight="false" outlineLevel="0" collapsed="false">
      <c r="B24" s="22" t="s">
        <v>736</v>
      </c>
      <c r="C24" s="23" t="s">
        <v>737</v>
      </c>
      <c r="D24" s="23"/>
      <c r="E24" s="23"/>
      <c r="F24" s="23"/>
      <c r="G24" s="23"/>
      <c r="H24" s="23"/>
      <c r="I24" s="23"/>
    </row>
    <row r="25" customFormat="false" ht="15" hidden="false" customHeight="false" outlineLevel="0" collapsed="false">
      <c r="B25" s="22" t="s">
        <v>738</v>
      </c>
      <c r="C25" s="23" t="s">
        <v>739</v>
      </c>
      <c r="D25" s="23"/>
      <c r="E25" s="23"/>
      <c r="F25" s="23"/>
      <c r="G25" s="23"/>
      <c r="H25" s="23"/>
      <c r="I25" s="23"/>
    </row>
    <row r="26" customFormat="false" ht="15" hidden="false" customHeight="false" outlineLevel="0" collapsed="false">
      <c r="B26" s="22" t="s">
        <v>740</v>
      </c>
      <c r="C26" s="23" t="s">
        <v>741</v>
      </c>
      <c r="D26" s="23"/>
      <c r="E26" s="23"/>
      <c r="F26" s="23"/>
      <c r="G26" s="23"/>
      <c r="H26" s="23"/>
      <c r="I26" s="23"/>
    </row>
    <row r="27" customFormat="false" ht="15" hidden="false" customHeight="false" outlineLevel="0" collapsed="false">
      <c r="B27" s="22" t="s">
        <v>742</v>
      </c>
      <c r="C27" s="23" t="s">
        <v>743</v>
      </c>
      <c r="D27" s="23"/>
      <c r="E27" s="23"/>
      <c r="F27" s="23"/>
      <c r="G27" s="23"/>
      <c r="H27" s="23"/>
      <c r="I27" s="23"/>
    </row>
    <row r="29" customFormat="false" ht="15" hidden="false" customHeight="false" outlineLevel="0" collapsed="false">
      <c r="B29" s="18" t="s">
        <v>156</v>
      </c>
      <c r="C29" s="19"/>
      <c r="D29" s="19"/>
      <c r="E29" s="19"/>
      <c r="F29" s="19"/>
      <c r="G29" s="19"/>
      <c r="H29" s="19"/>
      <c r="I29" s="19"/>
    </row>
    <row r="47" customFormat="false" ht="30" hidden="false" customHeight="true" outlineLevel="0" collapsed="false">
      <c r="B47" s="24" t="s">
        <v>744</v>
      </c>
      <c r="C47" s="24"/>
      <c r="D47" s="24"/>
      <c r="E47" s="24"/>
      <c r="F47" s="24"/>
      <c r="G47" s="24"/>
      <c r="H47" s="24"/>
      <c r="I47" s="24"/>
    </row>
    <row r="49" customFormat="false" ht="15" hidden="false" customHeight="false" outlineLevel="0" collapsed="false">
      <c r="B49" s="18" t="s">
        <v>159</v>
      </c>
      <c r="C49" s="19"/>
      <c r="D49" s="19"/>
      <c r="E49" s="19"/>
      <c r="F49" s="19"/>
      <c r="G49" s="19"/>
      <c r="H49" s="19"/>
      <c r="I49" s="19"/>
    </row>
    <row r="50" customFormat="false" ht="16.5" hidden="false" customHeight="true" outlineLevel="0" collapsed="false">
      <c r="B50" s="25" t="s">
        <v>745</v>
      </c>
      <c r="C50" s="25"/>
      <c r="D50" s="25"/>
      <c r="E50" s="25"/>
      <c r="F50" s="25"/>
      <c r="G50" s="25"/>
      <c r="H50" s="25"/>
      <c r="I50" s="25"/>
    </row>
    <row r="51" customFormat="false" ht="30" hidden="false" customHeight="true" outlineLevel="0" collapsed="false">
      <c r="B51" s="26" t="s">
        <v>746</v>
      </c>
      <c r="C51" s="26"/>
      <c r="D51" s="26"/>
      <c r="E51" s="26"/>
      <c r="F51" s="26"/>
      <c r="G51" s="26"/>
      <c r="H51" s="26"/>
      <c r="I51" s="26"/>
    </row>
    <row r="52" customFormat="false" ht="16.5" hidden="false" customHeight="true" outlineLevel="0" collapsed="false">
      <c r="B52" s="25" t="s">
        <v>747</v>
      </c>
      <c r="C52" s="25"/>
      <c r="D52" s="25"/>
      <c r="E52" s="25"/>
      <c r="F52" s="25"/>
      <c r="G52" s="25"/>
      <c r="H52" s="25"/>
      <c r="I52" s="25"/>
    </row>
    <row r="53" customFormat="false" ht="43.5" hidden="false" customHeight="true" outlineLevel="0" collapsed="false">
      <c r="B53" s="26" t="s">
        <v>748</v>
      </c>
      <c r="C53" s="26"/>
      <c r="D53" s="26"/>
      <c r="E53" s="26"/>
      <c r="F53" s="26"/>
      <c r="G53" s="26"/>
      <c r="H53" s="26"/>
      <c r="I53" s="26"/>
    </row>
    <row r="54" customFormat="false" ht="16.5" hidden="false" customHeight="true" outlineLevel="0" collapsed="false">
      <c r="B54" s="25" t="s">
        <v>749</v>
      </c>
      <c r="C54" s="25"/>
      <c r="D54" s="25"/>
      <c r="E54" s="25"/>
      <c r="F54" s="25"/>
      <c r="G54" s="25"/>
      <c r="H54" s="25"/>
      <c r="I54" s="25"/>
    </row>
    <row r="55" customFormat="false" ht="43.5" hidden="false" customHeight="true" outlineLevel="0" collapsed="false">
      <c r="B55" s="26" t="s">
        <v>750</v>
      </c>
      <c r="C55" s="26"/>
      <c r="D55" s="26"/>
      <c r="E55" s="26"/>
      <c r="F55" s="26"/>
      <c r="G55" s="26"/>
      <c r="H55" s="26"/>
      <c r="I55" s="26"/>
    </row>
    <row r="56" customFormat="false" ht="16.5" hidden="false" customHeight="true" outlineLevel="0" collapsed="false">
      <c r="B56" s="25" t="s">
        <v>751</v>
      </c>
      <c r="C56" s="25"/>
      <c r="D56" s="25"/>
      <c r="E56" s="25"/>
      <c r="F56" s="25"/>
      <c r="G56" s="25"/>
      <c r="H56" s="25"/>
      <c r="I56" s="25"/>
    </row>
    <row r="57" customFormat="false" ht="43.5" hidden="false" customHeight="true" outlineLevel="0" collapsed="false">
      <c r="B57" s="26" t="s">
        <v>752</v>
      </c>
      <c r="C57" s="26"/>
      <c r="D57" s="26"/>
      <c r="E57" s="26"/>
      <c r="F57" s="26"/>
      <c r="G57" s="26"/>
      <c r="H57" s="26"/>
      <c r="I57" s="26"/>
    </row>
    <row r="59" customFormat="false" ht="15" hidden="false" customHeight="false" outlineLevel="0" collapsed="false">
      <c r="B59" s="18" t="s">
        <v>168</v>
      </c>
      <c r="C59" s="19"/>
      <c r="D59" s="19"/>
      <c r="E59" s="19"/>
      <c r="F59" s="19"/>
      <c r="G59" s="19"/>
      <c r="H59" s="19"/>
      <c r="I59" s="19"/>
    </row>
    <row r="60" customFormat="false" ht="30" hidden="false" customHeight="true" outlineLevel="0" collapsed="false">
      <c r="B60" s="20" t="s">
        <v>753</v>
      </c>
      <c r="C60" s="20"/>
      <c r="D60" s="20"/>
      <c r="E60" s="20"/>
      <c r="F60" s="20"/>
      <c r="G60" s="20"/>
      <c r="H60" s="20"/>
      <c r="I60" s="20"/>
    </row>
    <row r="61" customFormat="false" ht="16.5" hidden="false" customHeight="true" outlineLevel="0" collapsed="false">
      <c r="B61" s="20" t="s">
        <v>754</v>
      </c>
      <c r="C61" s="20"/>
      <c r="D61" s="20"/>
      <c r="E61" s="20"/>
      <c r="F61" s="20"/>
      <c r="G61" s="20"/>
      <c r="H61" s="20"/>
      <c r="I61" s="20"/>
    </row>
    <row r="62" customFormat="false" ht="16.5" hidden="false" customHeight="true" outlineLevel="0" collapsed="false">
      <c r="B62" s="20" t="s">
        <v>755</v>
      </c>
      <c r="C62" s="20"/>
      <c r="D62" s="20"/>
      <c r="E62" s="20"/>
      <c r="F62" s="20"/>
      <c r="G62" s="20"/>
      <c r="H62" s="20"/>
      <c r="I62" s="20"/>
    </row>
    <row r="63" customFormat="false" ht="16.5" hidden="false" customHeight="true" outlineLevel="0" collapsed="false">
      <c r="B63" s="20" t="s">
        <v>756</v>
      </c>
      <c r="C63" s="20"/>
      <c r="D63" s="20"/>
      <c r="E63" s="20"/>
      <c r="F63" s="20"/>
      <c r="G63" s="20"/>
      <c r="H63" s="20"/>
      <c r="I63" s="20"/>
    </row>
    <row r="64" customFormat="false" ht="16.5" hidden="false" customHeight="true" outlineLevel="0" collapsed="false">
      <c r="B64" s="20" t="s">
        <v>757</v>
      </c>
      <c r="C64" s="20"/>
      <c r="D64" s="20"/>
      <c r="E64" s="20"/>
      <c r="F64" s="20"/>
      <c r="G64" s="20"/>
      <c r="H64" s="20"/>
      <c r="I64" s="20"/>
    </row>
    <row r="66" customFormat="false" ht="15" hidden="false" customHeight="false" outlineLevel="0" collapsed="false">
      <c r="B66" s="18" t="s">
        <v>174</v>
      </c>
      <c r="C66" s="19"/>
      <c r="D66" s="19"/>
      <c r="E66" s="19"/>
      <c r="F66" s="19"/>
      <c r="G66" s="19"/>
      <c r="H66" s="19"/>
      <c r="I66" s="19"/>
    </row>
    <row r="67" customFormat="false" ht="16.5" hidden="false" customHeight="true" outlineLevel="0" collapsed="false">
      <c r="B67" s="27" t="s">
        <v>758</v>
      </c>
      <c r="C67" s="27"/>
      <c r="D67" s="27"/>
      <c r="E67" s="27"/>
      <c r="F67" s="27"/>
      <c r="G67" s="27"/>
      <c r="H67" s="27"/>
      <c r="I67" s="27"/>
    </row>
    <row r="68" customFormat="false" ht="16.5" hidden="false" customHeight="true" outlineLevel="0" collapsed="false">
      <c r="B68" s="27" t="s">
        <v>759</v>
      </c>
      <c r="C68" s="27"/>
      <c r="D68" s="27"/>
      <c r="E68" s="27"/>
      <c r="F68" s="27"/>
      <c r="G68" s="27"/>
      <c r="H68" s="27"/>
      <c r="I68" s="27"/>
    </row>
    <row r="69" customFormat="false" ht="16.5" hidden="false" customHeight="true" outlineLevel="0" collapsed="false">
      <c r="B69" s="27" t="s">
        <v>760</v>
      </c>
      <c r="C69" s="27"/>
      <c r="D69" s="27"/>
      <c r="E69" s="27"/>
      <c r="F69" s="27"/>
      <c r="G69" s="27"/>
      <c r="H69" s="27"/>
      <c r="I69" s="27"/>
    </row>
    <row r="70" customFormat="false" ht="16.5" hidden="false" customHeight="true" outlineLevel="0" collapsed="false">
      <c r="B70" s="27" t="s">
        <v>761</v>
      </c>
      <c r="C70" s="27"/>
      <c r="D70" s="27"/>
      <c r="E70" s="27"/>
      <c r="F70" s="27"/>
      <c r="G70" s="27"/>
      <c r="H70" s="27"/>
      <c r="I70" s="27"/>
    </row>
    <row r="71" customFormat="false" ht="16.5" hidden="false" customHeight="true" outlineLevel="0" collapsed="false">
      <c r="B71" s="27" t="s">
        <v>762</v>
      </c>
      <c r="C71" s="27"/>
      <c r="D71" s="27"/>
      <c r="E71" s="27"/>
      <c r="F71" s="27"/>
      <c r="G71" s="27"/>
      <c r="H71" s="27"/>
      <c r="I71" s="27"/>
    </row>
  </sheetData>
  <mergeCells count="36">
    <mergeCell ref="B4:I4"/>
    <mergeCell ref="B7:I7"/>
    <mergeCell ref="B8:I8"/>
    <mergeCell ref="B9:I9"/>
    <mergeCell ref="B10:I10"/>
    <mergeCell ref="B13:I13"/>
    <mergeCell ref="B14:I14"/>
    <mergeCell ref="B15:I15"/>
    <mergeCell ref="B16:I16"/>
    <mergeCell ref="C20:I20"/>
    <mergeCell ref="C21:I21"/>
    <mergeCell ref="C22:I22"/>
    <mergeCell ref="C23:I23"/>
    <mergeCell ref="C24:I24"/>
    <mergeCell ref="C25:I25"/>
    <mergeCell ref="C26:I26"/>
    <mergeCell ref="C27:I27"/>
    <mergeCell ref="B47:I47"/>
    <mergeCell ref="B50:I50"/>
    <mergeCell ref="B51:I51"/>
    <mergeCell ref="B52:I52"/>
    <mergeCell ref="B53:I53"/>
    <mergeCell ref="B54:I54"/>
    <mergeCell ref="B55:I55"/>
    <mergeCell ref="B56:I56"/>
    <mergeCell ref="B57:I57"/>
    <mergeCell ref="B60:I60"/>
    <mergeCell ref="B61:I61"/>
    <mergeCell ref="B62:I62"/>
    <mergeCell ref="B63:I63"/>
    <mergeCell ref="B64:I64"/>
    <mergeCell ref="B67:I67"/>
    <mergeCell ref="B68:I68"/>
    <mergeCell ref="B69:I69"/>
    <mergeCell ref="B70:I70"/>
    <mergeCell ref="B71:I7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763</v>
      </c>
      <c r="I1" s="17" t="s">
        <v>126</v>
      </c>
    </row>
    <row r="2" customFormat="false" ht="15" hidden="false" customHeight="false" outlineLevel="0" collapsed="false">
      <c r="B2" s="28" t="s">
        <v>764</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765</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766</v>
      </c>
      <c r="C8" s="20"/>
      <c r="D8" s="20"/>
      <c r="E8" s="20"/>
      <c r="F8" s="20"/>
      <c r="G8" s="20"/>
      <c r="H8" s="20"/>
      <c r="I8" s="20"/>
    </row>
    <row r="9" customFormat="false" ht="16.5" hidden="false" customHeight="true" outlineLevel="0" collapsed="false">
      <c r="B9" s="20" t="s">
        <v>767</v>
      </c>
      <c r="C9" s="20"/>
      <c r="D9" s="20"/>
      <c r="E9" s="20"/>
      <c r="F9" s="20"/>
      <c r="G9" s="20"/>
      <c r="H9" s="20"/>
      <c r="I9" s="20"/>
    </row>
    <row r="10" customFormat="false" ht="16.5" hidden="false" customHeight="true" outlineLevel="0" collapsed="false">
      <c r="B10" s="20" t="s">
        <v>768</v>
      </c>
      <c r="C10" s="20"/>
      <c r="D10" s="20"/>
      <c r="E10" s="20"/>
      <c r="F10" s="20"/>
      <c r="G10" s="20"/>
      <c r="H10" s="20"/>
      <c r="I10" s="20"/>
    </row>
    <row r="11" customFormat="false" ht="16.5" hidden="false" customHeight="true" outlineLevel="0" collapsed="false">
      <c r="B11" s="20" t="s">
        <v>769</v>
      </c>
      <c r="C11" s="20"/>
      <c r="D11" s="20"/>
      <c r="E11" s="20"/>
      <c r="F11" s="20"/>
      <c r="G11" s="20"/>
      <c r="H11" s="20"/>
      <c r="I11" s="20"/>
    </row>
    <row r="12" customFormat="false" ht="16.5" hidden="false" customHeight="true" outlineLevel="0" collapsed="false">
      <c r="B12" s="20" t="s">
        <v>770</v>
      </c>
      <c r="C12" s="20"/>
      <c r="D12" s="20"/>
      <c r="E12" s="20"/>
      <c r="F12" s="20"/>
      <c r="G12" s="20"/>
      <c r="H12" s="20"/>
      <c r="I12" s="20"/>
    </row>
    <row r="14" customFormat="false" ht="15" hidden="false" customHeight="false" outlineLevel="0" collapsed="false">
      <c r="B14" s="18" t="s">
        <v>189</v>
      </c>
      <c r="C14" s="19"/>
      <c r="D14" s="19"/>
      <c r="E14" s="19"/>
      <c r="F14" s="19"/>
      <c r="G14" s="19"/>
      <c r="H14" s="19"/>
      <c r="I14" s="19"/>
    </row>
    <row r="15" customFormat="false" ht="15" hidden="false" customHeight="false" outlineLevel="0" collapsed="false">
      <c r="B15" s="11" t="s">
        <v>771</v>
      </c>
      <c r="C15" s="21" t="s">
        <v>772</v>
      </c>
      <c r="D15" s="21" t="s">
        <v>773</v>
      </c>
    </row>
    <row r="16" customFormat="false" ht="15" hidden="false" customHeight="false" outlineLevel="0" collapsed="false">
      <c r="B16" s="14" t="s">
        <v>774</v>
      </c>
      <c r="C16" s="42" t="n">
        <v>2.1</v>
      </c>
      <c r="D16" s="42" t="n">
        <v>3.6</v>
      </c>
    </row>
    <row r="17" customFormat="false" ht="15" hidden="false" customHeight="false" outlineLevel="0" collapsed="false">
      <c r="B17" s="14" t="s">
        <v>775</v>
      </c>
      <c r="C17" s="42" t="n">
        <v>-1.5</v>
      </c>
      <c r="D17" s="42" t="n">
        <v>-1.2</v>
      </c>
    </row>
    <row r="18" customFormat="false" ht="15" hidden="false" customHeight="false" outlineLevel="0" collapsed="false">
      <c r="B18" s="14" t="s">
        <v>776</v>
      </c>
      <c r="C18" s="42" t="n">
        <v>3.4</v>
      </c>
      <c r="D18" s="42" t="n">
        <v>3.5</v>
      </c>
    </row>
    <row r="19" customFormat="false" ht="15" hidden="false" customHeight="false" outlineLevel="0" collapsed="false">
      <c r="B19" s="14" t="s">
        <v>777</v>
      </c>
      <c r="C19" s="42" t="n">
        <v>0.8</v>
      </c>
      <c r="D19" s="42" t="n">
        <v>1.9</v>
      </c>
    </row>
    <row r="20" customFormat="false" ht="15" hidden="false" customHeight="false" outlineLevel="0" collapsed="false">
      <c r="B20" s="14" t="s">
        <v>778</v>
      </c>
      <c r="C20" s="42" t="n">
        <v>-2.7</v>
      </c>
      <c r="D20" s="42" t="n">
        <v>-2.6</v>
      </c>
    </row>
    <row r="21" customFormat="false" ht="15" hidden="false" customHeight="false" outlineLevel="0" collapsed="false">
      <c r="B21" s="14" t="s">
        <v>779</v>
      </c>
      <c r="C21" s="42" t="n">
        <v>1.9</v>
      </c>
      <c r="D21" s="42" t="n">
        <v>1.4</v>
      </c>
    </row>
    <row r="22" customFormat="false" ht="15" hidden="false" customHeight="false" outlineLevel="0" collapsed="false">
      <c r="B22" s="14" t="s">
        <v>780</v>
      </c>
      <c r="C22" s="42" t="n">
        <v>4.2</v>
      </c>
      <c r="D22" s="42" t="n">
        <v>6.3</v>
      </c>
    </row>
    <row r="23" customFormat="false" ht="15" hidden="false" customHeight="false" outlineLevel="0" collapsed="false">
      <c r="B23" s="14" t="s">
        <v>781</v>
      </c>
      <c r="C23" s="42" t="n">
        <v>-0.6</v>
      </c>
      <c r="D23" s="42" t="n">
        <v>0.4</v>
      </c>
    </row>
    <row r="24" customFormat="false" ht="15" hidden="false" customHeight="false" outlineLevel="0" collapsed="false">
      <c r="B24" s="14" t="s">
        <v>782</v>
      </c>
      <c r="C24" s="42" t="n">
        <v>1.1</v>
      </c>
      <c r="D24" s="42" t="n">
        <v>0.2</v>
      </c>
    </row>
    <row r="25" customFormat="false" ht="15" hidden="false" customHeight="false" outlineLevel="0" collapsed="false">
      <c r="B25" s="14" t="s">
        <v>783</v>
      </c>
      <c r="C25" s="42" t="n">
        <v>-3.3</v>
      </c>
      <c r="D25" s="42" t="n">
        <v>-5.3</v>
      </c>
    </row>
    <row r="26" customFormat="false" ht="15" hidden="false" customHeight="false" outlineLevel="0" collapsed="false">
      <c r="B26" s="14" t="s">
        <v>784</v>
      </c>
      <c r="C26" s="42" t="n">
        <v>2.6</v>
      </c>
      <c r="D26" s="42" t="n">
        <v>4.4</v>
      </c>
    </row>
    <row r="27" customFormat="false" ht="15" hidden="false" customHeight="false" outlineLevel="0" collapsed="false">
      <c r="B27" s="14" t="s">
        <v>785</v>
      </c>
      <c r="C27" s="42" t="n">
        <v>0.5</v>
      </c>
      <c r="D27" s="42" t="n">
        <v>-0.8</v>
      </c>
    </row>
    <row r="28" customFormat="false" ht="15" hidden="false" customHeight="false" outlineLevel="0" collapsed="false">
      <c r="B28" s="14" t="s">
        <v>786</v>
      </c>
      <c r="C28" s="29" t="n">
        <v>-5</v>
      </c>
    </row>
    <row r="30" customFormat="false" ht="15" hidden="false" customHeight="false" outlineLevel="0" collapsed="false">
      <c r="B30" s="33" t="s">
        <v>201</v>
      </c>
      <c r="C30" s="34"/>
      <c r="D30" s="34"/>
      <c r="E30" s="34"/>
      <c r="F30" s="34"/>
      <c r="G30" s="34"/>
      <c r="H30" s="34"/>
      <c r="I30" s="34"/>
    </row>
    <row r="31" customFormat="false" ht="15" hidden="false" customHeight="false" outlineLevel="0" collapsed="false">
      <c r="B31" s="14" t="s">
        <v>787</v>
      </c>
      <c r="C31" s="47"/>
    </row>
    <row r="32" customFormat="false" ht="15" hidden="false" customHeight="false" outlineLevel="0" collapsed="false">
      <c r="B32" s="14" t="s">
        <v>788</v>
      </c>
      <c r="C32" s="47"/>
    </row>
    <row r="33" customFormat="false" ht="15" hidden="false" customHeight="false" outlineLevel="0" collapsed="false">
      <c r="B33" s="14" t="s">
        <v>789</v>
      </c>
      <c r="C33" s="47"/>
    </row>
    <row r="34" customFormat="false" ht="15" hidden="false" customHeight="false" outlineLevel="0" collapsed="false">
      <c r="B34" s="14" t="s">
        <v>790</v>
      </c>
      <c r="C34" s="47"/>
    </row>
    <row r="35" customFormat="false" ht="15" hidden="false" customHeight="false" outlineLevel="0" collapsed="false">
      <c r="B35" s="22" t="s">
        <v>791</v>
      </c>
      <c r="C35" s="47"/>
    </row>
    <row r="36" customFormat="false" ht="15" hidden="false" customHeight="false" outlineLevel="0" collapsed="false">
      <c r="B36" s="14" t="s">
        <v>792</v>
      </c>
      <c r="C36" s="47"/>
    </row>
    <row r="37" customFormat="false" ht="15" hidden="false" customHeight="false" outlineLevel="0" collapsed="false">
      <c r="B37" s="14" t="s">
        <v>793</v>
      </c>
      <c r="C37" s="47"/>
    </row>
    <row r="38" customFormat="false" ht="15" hidden="false" customHeight="false" outlineLevel="0" collapsed="false">
      <c r="B38" s="14" t="s">
        <v>794</v>
      </c>
      <c r="C38" s="47"/>
    </row>
    <row r="39" customFormat="false" ht="15" hidden="false" customHeight="false" outlineLevel="0" collapsed="false">
      <c r="B39" s="22" t="s">
        <v>795</v>
      </c>
      <c r="C39" s="47"/>
    </row>
    <row r="40" customFormat="false" ht="15" hidden="false" customHeight="false" outlineLevel="0" collapsed="false">
      <c r="B40" s="14" t="s">
        <v>796</v>
      </c>
      <c r="C40" s="47"/>
    </row>
    <row r="41" customFormat="false" ht="15" hidden="false" customHeight="false" outlineLevel="0" collapsed="false">
      <c r="B41" s="14" t="s">
        <v>797</v>
      </c>
      <c r="C41" s="43"/>
    </row>
    <row r="43" customFormat="false" ht="15" hidden="false" customHeight="false" outlineLevel="0" collapsed="false">
      <c r="B43" s="39" t="s">
        <v>251</v>
      </c>
      <c r="C43" s="40"/>
      <c r="D43" s="40"/>
      <c r="E43" s="40"/>
      <c r="F43" s="40"/>
      <c r="G43" s="40"/>
      <c r="H43" s="40"/>
      <c r="I43" s="40"/>
    </row>
    <row r="44" customFormat="false" ht="30" hidden="false" customHeight="true" outlineLevel="0" collapsed="false">
      <c r="B44" s="24" t="s">
        <v>798</v>
      </c>
      <c r="C44" s="24"/>
      <c r="D44" s="24"/>
      <c r="E44" s="24"/>
      <c r="F44" s="24"/>
      <c r="G44" s="24"/>
      <c r="H44" s="24"/>
      <c r="I44" s="24"/>
    </row>
  </sheetData>
  <mergeCells count="7">
    <mergeCell ref="B5:I5"/>
    <mergeCell ref="B8:I8"/>
    <mergeCell ref="B9:I9"/>
    <mergeCell ref="B10:I10"/>
    <mergeCell ref="B11:I11"/>
    <mergeCell ref="B12:I12"/>
    <mergeCell ref="B44:I44"/>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799</v>
      </c>
      <c r="I1" s="17" t="s">
        <v>126</v>
      </c>
    </row>
    <row r="2" customFormat="false" ht="15" hidden="false" customHeight="false" outlineLevel="0" collapsed="false">
      <c r="B2" s="28" t="s">
        <v>800</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801</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30" hidden="false" customHeight="true" outlineLevel="0" collapsed="false">
      <c r="B8" s="20" t="s">
        <v>802</v>
      </c>
      <c r="C8" s="20"/>
      <c r="D8" s="20"/>
      <c r="E8" s="20"/>
      <c r="F8" s="20"/>
      <c r="G8" s="20"/>
      <c r="H8" s="20"/>
      <c r="I8" s="20"/>
    </row>
    <row r="9" customFormat="false" ht="16.5" hidden="false" customHeight="true" outlineLevel="0" collapsed="false">
      <c r="B9" s="20" t="s">
        <v>803</v>
      </c>
      <c r="C9" s="20"/>
      <c r="D9" s="20"/>
      <c r="E9" s="20"/>
      <c r="F9" s="20"/>
      <c r="G9" s="20"/>
      <c r="H9" s="20"/>
      <c r="I9" s="20"/>
    </row>
    <row r="10" customFormat="false" ht="16.5" hidden="false" customHeight="true" outlineLevel="0" collapsed="false">
      <c r="B10" s="20" t="s">
        <v>804</v>
      </c>
      <c r="C10" s="20"/>
      <c r="D10" s="20"/>
      <c r="E10" s="20"/>
      <c r="F10" s="20"/>
      <c r="G10" s="20"/>
      <c r="H10" s="20"/>
      <c r="I10" s="20"/>
    </row>
    <row r="11" customFormat="false" ht="30" hidden="false" customHeight="true" outlineLevel="0" collapsed="false">
      <c r="B11" s="20" t="s">
        <v>805</v>
      </c>
      <c r="C11" s="20"/>
      <c r="D11" s="20"/>
      <c r="E11" s="20"/>
      <c r="F11" s="20"/>
      <c r="G11" s="20"/>
      <c r="H11" s="20"/>
      <c r="I11" s="20"/>
    </row>
    <row r="12" customFormat="false" ht="16.5" hidden="false" customHeight="true" outlineLevel="0" collapsed="false">
      <c r="B12" s="20" t="s">
        <v>806</v>
      </c>
      <c r="C12" s="20"/>
      <c r="D12" s="20"/>
      <c r="E12" s="20"/>
      <c r="F12" s="20"/>
      <c r="G12" s="20"/>
      <c r="H12" s="20"/>
      <c r="I12" s="20"/>
    </row>
    <row r="14" customFormat="false" ht="15" hidden="false" customHeight="false" outlineLevel="0" collapsed="false">
      <c r="B14" s="18" t="s">
        <v>189</v>
      </c>
      <c r="C14" s="19"/>
      <c r="D14" s="19"/>
      <c r="E14" s="19"/>
      <c r="F14" s="19"/>
      <c r="G14" s="19"/>
      <c r="H14" s="19"/>
      <c r="I14" s="19"/>
    </row>
    <row r="15" customFormat="false" ht="15" hidden="false" customHeight="false" outlineLevel="0" collapsed="false">
      <c r="B15" s="11" t="s">
        <v>807</v>
      </c>
      <c r="C15" s="21" t="s">
        <v>808</v>
      </c>
      <c r="D15" s="21" t="s">
        <v>809</v>
      </c>
    </row>
    <row r="16" customFormat="false" ht="15" hidden="false" customHeight="false" outlineLevel="0" collapsed="false">
      <c r="B16" s="14" t="s">
        <v>810</v>
      </c>
      <c r="C16" s="42" t="n">
        <v>5.2</v>
      </c>
      <c r="D16" s="42" t="n">
        <v>1.12</v>
      </c>
    </row>
    <row r="17" customFormat="false" ht="15" hidden="false" customHeight="false" outlineLevel="0" collapsed="false">
      <c r="B17" s="14" t="s">
        <v>811</v>
      </c>
      <c r="C17" s="42" t="n">
        <v>-0.62</v>
      </c>
      <c r="D17" s="42" t="n">
        <v>0.14</v>
      </c>
    </row>
    <row r="18" customFormat="false" ht="15" hidden="false" customHeight="false" outlineLevel="0" collapsed="false">
      <c r="B18" s="14" t="s">
        <v>812</v>
      </c>
      <c r="C18" s="42" t="n">
        <v>0.45</v>
      </c>
      <c r="D18" s="42" t="n">
        <v>0.21</v>
      </c>
    </row>
    <row r="19" customFormat="false" ht="15" hidden="false" customHeight="false" outlineLevel="0" collapsed="false">
      <c r="B19" s="14" t="s">
        <v>813</v>
      </c>
      <c r="C19" s="42" t="n">
        <v>0.08</v>
      </c>
      <c r="D19" s="42" t="n">
        <v>0.06</v>
      </c>
    </row>
    <row r="21" customFormat="false" ht="15" hidden="false" customHeight="false" outlineLevel="0" collapsed="false">
      <c r="B21" s="11" t="s">
        <v>190</v>
      </c>
      <c r="C21" s="21" t="s">
        <v>191</v>
      </c>
    </row>
    <row r="22" customFormat="false" ht="15" hidden="false" customHeight="false" outlineLevel="0" collapsed="false">
      <c r="B22" s="14" t="s">
        <v>814</v>
      </c>
      <c r="C22" s="32" t="n">
        <v>40</v>
      </c>
    </row>
    <row r="23" customFormat="false" ht="15" hidden="false" customHeight="false" outlineLevel="0" collapsed="false">
      <c r="B23" s="14" t="s">
        <v>815</v>
      </c>
      <c r="C23" s="32" t="n">
        <v>3</v>
      </c>
    </row>
    <row r="24" customFormat="false" ht="15" hidden="false" customHeight="false" outlineLevel="0" collapsed="false">
      <c r="B24" s="14" t="s">
        <v>795</v>
      </c>
      <c r="C24" s="52" t="n">
        <v>0.71</v>
      </c>
    </row>
    <row r="25" customFormat="false" ht="15" hidden="false" customHeight="false" outlineLevel="0" collapsed="false">
      <c r="B25" s="14" t="s">
        <v>816</v>
      </c>
      <c r="C25" s="46" t="n">
        <v>0.05</v>
      </c>
    </row>
    <row r="27" customFormat="false" ht="15" hidden="false" customHeight="false" outlineLevel="0" collapsed="false">
      <c r="B27" s="11" t="s">
        <v>817</v>
      </c>
      <c r="C27" s="21" t="s">
        <v>818</v>
      </c>
      <c r="D27" s="21" t="s">
        <v>819</v>
      </c>
    </row>
    <row r="28" customFormat="false" ht="15" hidden="false" customHeight="false" outlineLevel="0" collapsed="false">
      <c r="B28" s="14" t="s">
        <v>811</v>
      </c>
      <c r="C28" s="42" t="n">
        <v>6.5</v>
      </c>
      <c r="D28" s="42" t="n">
        <v>3</v>
      </c>
    </row>
    <row r="29" customFormat="false" ht="15" hidden="false" customHeight="false" outlineLevel="0" collapsed="false">
      <c r="B29" s="14" t="s">
        <v>812</v>
      </c>
      <c r="C29" s="42" t="n">
        <v>6</v>
      </c>
      <c r="D29" s="42" t="n">
        <v>7</v>
      </c>
    </row>
    <row r="30" customFormat="false" ht="15" hidden="false" customHeight="false" outlineLevel="0" collapsed="false">
      <c r="B30" s="14" t="s">
        <v>820</v>
      </c>
      <c r="C30" s="42" t="n">
        <v>14</v>
      </c>
      <c r="D30" s="42" t="n">
        <v>14</v>
      </c>
    </row>
    <row r="32" customFormat="false" ht="15" hidden="false" customHeight="false" outlineLevel="0" collapsed="false">
      <c r="B32" s="33" t="s">
        <v>201</v>
      </c>
      <c r="C32" s="34"/>
      <c r="D32" s="34"/>
      <c r="E32" s="34"/>
      <c r="F32" s="34"/>
      <c r="G32" s="34"/>
      <c r="H32" s="34"/>
      <c r="I32" s="34"/>
    </row>
    <row r="33" customFormat="false" ht="15" hidden="false" customHeight="false" outlineLevel="0" collapsed="false">
      <c r="B33" s="14" t="s">
        <v>821</v>
      </c>
      <c r="C33" s="50"/>
    </row>
    <row r="34" customFormat="false" ht="15" hidden="false" customHeight="false" outlineLevel="0" collapsed="false">
      <c r="B34" s="14" t="s">
        <v>822</v>
      </c>
      <c r="C34" s="47"/>
    </row>
    <row r="35" customFormat="false" ht="15" hidden="false" customHeight="false" outlineLevel="0" collapsed="false">
      <c r="B35" s="11" t="s">
        <v>807</v>
      </c>
      <c r="C35" s="21" t="s">
        <v>823</v>
      </c>
      <c r="D35" s="21" t="s">
        <v>824</v>
      </c>
      <c r="E35" s="21" t="s">
        <v>825</v>
      </c>
    </row>
    <row r="36" customFormat="false" ht="15" hidden="false" customHeight="false" outlineLevel="0" collapsed="false">
      <c r="B36" s="14" t="str">
        <f aca="false">B16</f>
        <v>Intercept</v>
      </c>
      <c r="C36" s="47"/>
      <c r="D36" s="47"/>
      <c r="E36" s="45"/>
    </row>
    <row r="37" customFormat="false" ht="15" hidden="false" customHeight="false" outlineLevel="0" collapsed="false">
      <c r="B37" s="14" t="str">
        <f aca="false">B17</f>
        <v>Real GDP growth (%)</v>
      </c>
      <c r="C37" s="47"/>
      <c r="D37" s="47"/>
      <c r="E37" s="45"/>
    </row>
    <row r="38" customFormat="false" ht="15" hidden="false" customHeight="false" outlineLevel="0" collapsed="false">
      <c r="B38" s="14" t="str">
        <f aca="false">B18</f>
        <v>Repo rate (%)</v>
      </c>
      <c r="C38" s="47"/>
      <c r="D38" s="47"/>
      <c r="E38" s="45"/>
    </row>
    <row r="39" customFormat="false" ht="15" hidden="false" customHeight="false" outlineLevel="0" collapsed="false">
      <c r="B39" s="14" t="str">
        <f aca="false">B19</f>
        <v>Credit growth, lagged 4Q (%)</v>
      </c>
      <c r="C39" s="47"/>
      <c r="D39" s="47"/>
      <c r="E39" s="45"/>
    </row>
    <row r="41" customFormat="false" ht="15" hidden="false" customHeight="false" outlineLevel="0" collapsed="false">
      <c r="B41" s="14" t="s">
        <v>732</v>
      </c>
      <c r="C41" s="47"/>
    </row>
    <row r="42" customFormat="false" ht="15" hidden="false" customHeight="false" outlineLevel="0" collapsed="false">
      <c r="B42" s="14" t="s">
        <v>734</v>
      </c>
      <c r="C42" s="43"/>
    </row>
    <row r="43" customFormat="false" ht="15" hidden="false" customHeight="false" outlineLevel="0" collapsed="false">
      <c r="B43" s="14" t="s">
        <v>826</v>
      </c>
      <c r="C43" s="56"/>
    </row>
    <row r="45" customFormat="false" ht="15" hidden="false" customHeight="false" outlineLevel="0" collapsed="false">
      <c r="B45" s="11" t="s">
        <v>827</v>
      </c>
      <c r="C45" s="21" t="s">
        <v>818</v>
      </c>
      <c r="D45" s="21" t="s">
        <v>819</v>
      </c>
    </row>
    <row r="46" customFormat="false" ht="15" hidden="false" customHeight="false" outlineLevel="0" collapsed="false">
      <c r="B46" s="22" t="s">
        <v>828</v>
      </c>
      <c r="C46" s="43"/>
      <c r="D46" s="43"/>
    </row>
  </sheetData>
  <mergeCells count="6">
    <mergeCell ref="B5:I5"/>
    <mergeCell ref="B8:I8"/>
    <mergeCell ref="B9:I9"/>
    <mergeCell ref="B10:I10"/>
    <mergeCell ref="B11:I11"/>
    <mergeCell ref="B12:I12"/>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829</v>
      </c>
      <c r="I1" s="17" t="s">
        <v>126</v>
      </c>
    </row>
    <row r="2" customFormat="false" ht="15" hidden="false" customHeight="false" outlineLevel="0" collapsed="false">
      <c r="B2" s="28" t="s">
        <v>830</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831</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832</v>
      </c>
      <c r="C8" s="20"/>
      <c r="D8" s="20"/>
      <c r="E8" s="20"/>
      <c r="F8" s="20"/>
      <c r="G8" s="20"/>
      <c r="H8" s="20"/>
      <c r="I8" s="20"/>
    </row>
    <row r="9" customFormat="false" ht="16.5" hidden="false" customHeight="true" outlineLevel="0" collapsed="false">
      <c r="B9" s="20" t="s">
        <v>833</v>
      </c>
      <c r="C9" s="20"/>
      <c r="D9" s="20"/>
      <c r="E9" s="20"/>
      <c r="F9" s="20"/>
      <c r="G9" s="20"/>
      <c r="H9" s="20"/>
      <c r="I9" s="20"/>
    </row>
    <row r="10" customFormat="false" ht="16.5" hidden="false" customHeight="true" outlineLevel="0" collapsed="false">
      <c r="B10" s="20" t="s">
        <v>834</v>
      </c>
      <c r="C10" s="20"/>
      <c r="D10" s="20"/>
      <c r="E10" s="20"/>
      <c r="F10" s="20"/>
      <c r="G10" s="20"/>
      <c r="H10" s="20"/>
      <c r="I10" s="20"/>
    </row>
    <row r="11" customFormat="false" ht="16.5" hidden="false" customHeight="true" outlineLevel="0" collapsed="false">
      <c r="B11" s="20" t="s">
        <v>835</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836</v>
      </c>
      <c r="C15" s="46" t="n">
        <v>0.06</v>
      </c>
    </row>
    <row r="16" customFormat="false" ht="15" hidden="false" customHeight="false" outlineLevel="0" collapsed="false">
      <c r="B16" s="14" t="s">
        <v>837</v>
      </c>
      <c r="C16" s="46" t="n">
        <v>0.075</v>
      </c>
    </row>
    <row r="17" customFormat="false" ht="15" hidden="false" customHeight="false" outlineLevel="0" collapsed="false">
      <c r="B17" s="14" t="s">
        <v>796</v>
      </c>
      <c r="C17" s="29" t="n">
        <v>0.82</v>
      </c>
    </row>
    <row r="18" customFormat="false" ht="15" hidden="false" customHeight="false" outlineLevel="0" collapsed="false">
      <c r="B18" s="14" t="s">
        <v>838</v>
      </c>
      <c r="C18" s="32" t="n">
        <v>2000000</v>
      </c>
    </row>
    <row r="19" customFormat="false" ht="15" hidden="false" customHeight="false" outlineLevel="0" collapsed="false">
      <c r="B19" s="14" t="s">
        <v>839</v>
      </c>
      <c r="C19" s="32" t="n">
        <v>1000</v>
      </c>
    </row>
    <row r="21" customFormat="false" ht="15" hidden="false" customHeight="false" outlineLevel="0" collapsed="false">
      <c r="B21" s="33" t="s">
        <v>201</v>
      </c>
      <c r="C21" s="34"/>
      <c r="D21" s="34"/>
      <c r="E21" s="34"/>
      <c r="F21" s="34"/>
      <c r="G21" s="34"/>
      <c r="H21" s="34"/>
      <c r="I21" s="34"/>
    </row>
    <row r="22" customFormat="false" ht="15" hidden="false" customHeight="false" outlineLevel="0" collapsed="false">
      <c r="B22" s="22" t="s">
        <v>742</v>
      </c>
      <c r="C22" s="47"/>
    </row>
    <row r="23" customFormat="false" ht="15" hidden="false" customHeight="false" outlineLevel="0" collapsed="false">
      <c r="B23" s="22" t="s">
        <v>840</v>
      </c>
      <c r="C23" s="50"/>
    </row>
    <row r="24" customFormat="false" ht="15" hidden="false" customHeight="false" outlineLevel="0" collapsed="false">
      <c r="B24" s="14" t="s">
        <v>841</v>
      </c>
      <c r="C24" s="36"/>
    </row>
    <row r="25" customFormat="false" ht="15" hidden="false" customHeight="false" outlineLevel="0" collapsed="false">
      <c r="B25" s="14" t="s">
        <v>842</v>
      </c>
      <c r="C25" s="36"/>
    </row>
    <row r="26" customFormat="false" ht="15" hidden="false" customHeight="false" outlineLevel="0" collapsed="false">
      <c r="B26" s="14" t="s">
        <v>843</v>
      </c>
      <c r="C26" s="50"/>
    </row>
    <row r="27" customFormat="false" ht="15" hidden="false" customHeight="false" outlineLevel="0" collapsed="false">
      <c r="B27" s="14" t="s">
        <v>844</v>
      </c>
      <c r="C27" s="36"/>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845</v>
      </c>
      <c r="I1" s="17" t="s">
        <v>126</v>
      </c>
    </row>
    <row r="2" customFormat="false" ht="15" hidden="false" customHeight="false" outlineLevel="0" collapsed="false">
      <c r="B2" s="28" t="s">
        <v>846</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847</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848</v>
      </c>
      <c r="C8" s="20"/>
      <c r="D8" s="20"/>
      <c r="E8" s="20"/>
      <c r="F8" s="20"/>
      <c r="G8" s="20"/>
      <c r="H8" s="20"/>
      <c r="I8" s="20"/>
    </row>
    <row r="9" customFormat="false" ht="16.5" hidden="false" customHeight="true" outlineLevel="0" collapsed="false">
      <c r="B9" s="20" t="s">
        <v>849</v>
      </c>
      <c r="C9" s="20"/>
      <c r="D9" s="20"/>
      <c r="E9" s="20"/>
      <c r="F9" s="20"/>
      <c r="G9" s="20"/>
      <c r="H9" s="20"/>
      <c r="I9" s="20"/>
    </row>
    <row r="10" customFormat="false" ht="16.5" hidden="false" customHeight="true" outlineLevel="0" collapsed="false">
      <c r="B10" s="20" t="s">
        <v>850</v>
      </c>
      <c r="C10" s="20"/>
      <c r="D10" s="20"/>
      <c r="E10" s="20"/>
      <c r="F10" s="20"/>
      <c r="G10" s="20"/>
      <c r="H10" s="20"/>
      <c r="I10" s="20"/>
    </row>
    <row r="11" customFormat="false" ht="16.5" hidden="false" customHeight="true" outlineLevel="0" collapsed="false">
      <c r="B11" s="20" t="s">
        <v>851</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852</v>
      </c>
      <c r="C14" s="21" t="s">
        <v>853</v>
      </c>
      <c r="D14" s="21" t="s">
        <v>854</v>
      </c>
      <c r="E14" s="21" t="s">
        <v>855</v>
      </c>
      <c r="F14" s="21" t="s">
        <v>856</v>
      </c>
      <c r="G14" s="21" t="s">
        <v>857</v>
      </c>
    </row>
    <row r="15" customFormat="false" ht="15" hidden="false" customHeight="false" outlineLevel="0" collapsed="false">
      <c r="B15" s="14" t="s">
        <v>858</v>
      </c>
      <c r="C15" s="57" t="n">
        <v>0.5</v>
      </c>
      <c r="D15" s="57" t="n">
        <v>0.18</v>
      </c>
      <c r="E15" s="42" t="n">
        <v>1</v>
      </c>
      <c r="F15" s="42" t="n">
        <v>0.1</v>
      </c>
      <c r="G15" s="42" t="n">
        <v>-0.15</v>
      </c>
    </row>
    <row r="16" customFormat="false" ht="15" hidden="false" customHeight="false" outlineLevel="0" collapsed="false">
      <c r="B16" s="14" t="s">
        <v>859</v>
      </c>
      <c r="C16" s="57" t="n">
        <v>0.3</v>
      </c>
      <c r="D16" s="57" t="n">
        <v>0.06</v>
      </c>
      <c r="E16" s="42" t="n">
        <v>0.1</v>
      </c>
      <c r="F16" s="42" t="n">
        <v>1</v>
      </c>
      <c r="G16" s="42" t="n">
        <v>0.2</v>
      </c>
    </row>
    <row r="17" customFormat="false" ht="15" hidden="false" customHeight="false" outlineLevel="0" collapsed="false">
      <c r="B17" s="14" t="s">
        <v>860</v>
      </c>
      <c r="C17" s="57" t="n">
        <v>0.2</v>
      </c>
      <c r="D17" s="57" t="n">
        <v>0.14</v>
      </c>
      <c r="E17" s="42" t="n">
        <v>-0.15</v>
      </c>
      <c r="F17" s="42" t="n">
        <v>0.2</v>
      </c>
      <c r="G17" s="42" t="n">
        <v>1</v>
      </c>
    </row>
    <row r="19" customFormat="false" ht="15" hidden="false" customHeight="false" outlineLevel="0" collapsed="false">
      <c r="B19" s="33" t="s">
        <v>201</v>
      </c>
      <c r="C19" s="34"/>
      <c r="D19" s="34"/>
      <c r="E19" s="34"/>
      <c r="F19" s="34"/>
      <c r="G19" s="34"/>
      <c r="H19" s="34"/>
      <c r="I19" s="34"/>
    </row>
    <row r="20" customFormat="false" ht="15" hidden="false" customHeight="false" outlineLevel="0" collapsed="false">
      <c r="B20" s="11" t="s">
        <v>861</v>
      </c>
      <c r="C20" s="21" t="s">
        <v>858</v>
      </c>
      <c r="D20" s="21" t="s">
        <v>859</v>
      </c>
      <c r="E20" s="21" t="s">
        <v>860</v>
      </c>
      <c r="F20" s="21" t="s">
        <v>862</v>
      </c>
    </row>
    <row r="21" customFormat="false" ht="15" hidden="false" customHeight="false" outlineLevel="0" collapsed="false">
      <c r="B21" s="14" t="s">
        <v>858</v>
      </c>
      <c r="C21" s="51"/>
      <c r="D21" s="51"/>
      <c r="E21" s="51"/>
      <c r="F21" s="51"/>
    </row>
    <row r="22" customFormat="false" ht="15" hidden="false" customHeight="false" outlineLevel="0" collapsed="false">
      <c r="B22" s="14" t="s">
        <v>859</v>
      </c>
      <c r="C22" s="51"/>
      <c r="D22" s="51"/>
      <c r="E22" s="51"/>
      <c r="F22" s="51"/>
    </row>
    <row r="23" customFormat="false" ht="15" hidden="false" customHeight="false" outlineLevel="0" collapsed="false">
      <c r="B23" s="14" t="s">
        <v>860</v>
      </c>
      <c r="C23" s="51"/>
      <c r="D23" s="51"/>
      <c r="E23" s="51"/>
      <c r="F23" s="51"/>
    </row>
    <row r="24" customFormat="false" ht="15" hidden="false" customHeight="false" outlineLevel="0" collapsed="false">
      <c r="B24" s="14" t="s">
        <v>863</v>
      </c>
      <c r="C24" s="53"/>
      <c r="D24" s="53"/>
      <c r="E24" s="53"/>
    </row>
    <row r="26" customFormat="false" ht="15" hidden="false" customHeight="false" outlineLevel="0" collapsed="false">
      <c r="B26" s="14" t="s">
        <v>864</v>
      </c>
      <c r="C26" s="58"/>
    </row>
    <row r="27" customFormat="false" ht="15" hidden="false" customHeight="false" outlineLevel="0" collapsed="false">
      <c r="B27" s="22" t="s">
        <v>865</v>
      </c>
      <c r="C27" s="36"/>
    </row>
    <row r="28" customFormat="false" ht="15" hidden="false" customHeight="false" outlineLevel="0" collapsed="false">
      <c r="B28" s="14" t="s">
        <v>866</v>
      </c>
      <c r="C28" s="36"/>
    </row>
    <row r="30" customFormat="false" ht="15" hidden="false" customHeight="false" outlineLevel="0" collapsed="false">
      <c r="B30" s="11" t="s">
        <v>852</v>
      </c>
      <c r="C30" s="21" t="s">
        <v>867</v>
      </c>
      <c r="D30" s="21" t="s">
        <v>868</v>
      </c>
      <c r="E30" s="21" t="s">
        <v>869</v>
      </c>
    </row>
    <row r="31" customFormat="false" ht="15" hidden="false" customHeight="false" outlineLevel="0" collapsed="false">
      <c r="B31" s="14" t="s">
        <v>858</v>
      </c>
      <c r="C31" s="36"/>
      <c r="D31" s="36"/>
      <c r="E31" s="53"/>
    </row>
    <row r="32" customFormat="false" ht="15" hidden="false" customHeight="false" outlineLevel="0" collapsed="false">
      <c r="B32" s="14" t="s">
        <v>859</v>
      </c>
      <c r="C32" s="36"/>
      <c r="D32" s="36"/>
      <c r="E32" s="53"/>
    </row>
    <row r="33" customFormat="false" ht="15" hidden="false" customHeight="false" outlineLevel="0" collapsed="false">
      <c r="B33" s="14" t="s">
        <v>860</v>
      </c>
      <c r="C33" s="36"/>
      <c r="D33" s="36"/>
      <c r="E33" s="53"/>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870</v>
      </c>
      <c r="I1" s="17" t="s">
        <v>126</v>
      </c>
    </row>
    <row r="2" customFormat="false" ht="15" hidden="false" customHeight="false" outlineLevel="0" collapsed="false">
      <c r="B2" s="28" t="s">
        <v>871</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872</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873</v>
      </c>
      <c r="C8" s="20"/>
      <c r="D8" s="20"/>
      <c r="E8" s="20"/>
      <c r="F8" s="20"/>
      <c r="G8" s="20"/>
      <c r="H8" s="20"/>
      <c r="I8" s="20"/>
    </row>
    <row r="9" customFormat="false" ht="16.5" hidden="false" customHeight="true" outlineLevel="0" collapsed="false">
      <c r="B9" s="20" t="s">
        <v>874</v>
      </c>
      <c r="C9" s="20"/>
      <c r="D9" s="20"/>
      <c r="E9" s="20"/>
      <c r="F9" s="20"/>
      <c r="G9" s="20"/>
      <c r="H9" s="20"/>
      <c r="I9" s="20"/>
    </row>
    <row r="10" customFormat="false" ht="16.5" hidden="false" customHeight="true" outlineLevel="0" collapsed="false">
      <c r="B10" s="20" t="s">
        <v>875</v>
      </c>
      <c r="C10" s="20"/>
      <c r="D10" s="20"/>
      <c r="E10" s="20"/>
      <c r="F10" s="20"/>
      <c r="G10" s="20"/>
      <c r="H10" s="20"/>
      <c r="I10" s="20"/>
    </row>
    <row r="11" customFormat="false" ht="16.5" hidden="false" customHeight="true" outlineLevel="0" collapsed="false">
      <c r="B11" s="20" t="s">
        <v>876</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877</v>
      </c>
      <c r="D14" s="21" t="s">
        <v>878</v>
      </c>
    </row>
    <row r="15" customFormat="false" ht="15" hidden="false" customHeight="false" outlineLevel="0" collapsed="false">
      <c r="B15" s="14" t="s">
        <v>879</v>
      </c>
      <c r="C15" s="46" t="n">
        <v>0.15</v>
      </c>
    </row>
    <row r="16" customFormat="false" ht="15" hidden="false" customHeight="false" outlineLevel="0" collapsed="false">
      <c r="B16" s="14" t="s">
        <v>880</v>
      </c>
      <c r="C16" s="29" t="n">
        <v>1.3</v>
      </c>
      <c r="D16" s="29" t="n">
        <v>0.95</v>
      </c>
    </row>
    <row r="17" customFormat="false" ht="15" hidden="false" customHeight="false" outlineLevel="0" collapsed="false">
      <c r="B17" s="14" t="s">
        <v>881</v>
      </c>
      <c r="C17" s="46" t="n">
        <v>0.28</v>
      </c>
      <c r="D17" s="46" t="n">
        <v>0.152</v>
      </c>
    </row>
    <row r="19" customFormat="false" ht="15" hidden="false" customHeight="false" outlineLevel="0" collapsed="false">
      <c r="B19" s="33" t="s">
        <v>201</v>
      </c>
      <c r="C19" s="34"/>
      <c r="D19" s="34"/>
      <c r="E19" s="34"/>
      <c r="F19" s="34"/>
      <c r="G19" s="34"/>
      <c r="H19" s="34"/>
      <c r="I19" s="34"/>
    </row>
    <row r="20" customFormat="false" ht="15" hidden="false" customHeight="false" outlineLevel="0" collapsed="false">
      <c r="B20" s="11" t="s">
        <v>140</v>
      </c>
      <c r="C20" s="21" t="s">
        <v>877</v>
      </c>
      <c r="D20" s="21" t="s">
        <v>878</v>
      </c>
    </row>
    <row r="21" customFormat="false" ht="15" hidden="false" customHeight="false" outlineLevel="0" collapsed="false">
      <c r="B21" s="14" t="s">
        <v>882</v>
      </c>
      <c r="C21" s="58"/>
      <c r="D21" s="58"/>
    </row>
    <row r="22" customFormat="false" ht="15" hidden="false" customHeight="false" outlineLevel="0" collapsed="false">
      <c r="B22" s="14" t="s">
        <v>883</v>
      </c>
      <c r="C22" s="58"/>
      <c r="D22" s="58"/>
    </row>
    <row r="23" customFormat="false" ht="15" hidden="false" customHeight="false" outlineLevel="0" collapsed="false">
      <c r="B23" s="14" t="s">
        <v>884</v>
      </c>
      <c r="C23" s="58"/>
      <c r="D23" s="58"/>
    </row>
    <row r="24" customFormat="false" ht="15" hidden="false" customHeight="false" outlineLevel="0" collapsed="false">
      <c r="B24" s="14" t="s">
        <v>885</v>
      </c>
      <c r="C24" s="36"/>
      <c r="D24" s="36"/>
    </row>
    <row r="25" customFormat="false" ht="15" hidden="false" customHeight="false" outlineLevel="0" collapsed="false">
      <c r="B25" s="22" t="s">
        <v>886</v>
      </c>
      <c r="C25" s="53"/>
      <c r="D25" s="53"/>
    </row>
    <row r="26" customFormat="false" ht="15" hidden="false" customHeight="false" outlineLevel="0" collapsed="false">
      <c r="B26" s="14" t="s">
        <v>887</v>
      </c>
      <c r="C26" s="53"/>
      <c r="D26" s="53"/>
    </row>
    <row r="28" customFormat="false" ht="15" hidden="false" customHeight="false" outlineLevel="0" collapsed="false">
      <c r="B28" s="39" t="s">
        <v>251</v>
      </c>
      <c r="C28" s="40"/>
      <c r="D28" s="40"/>
      <c r="E28" s="40"/>
      <c r="F28" s="40"/>
      <c r="G28" s="40"/>
      <c r="H28" s="40"/>
      <c r="I28" s="40"/>
    </row>
    <row r="29" customFormat="false" ht="16.5" hidden="false" customHeight="true" outlineLevel="0" collapsed="false">
      <c r="B29" s="24" t="s">
        <v>888</v>
      </c>
      <c r="C29" s="24"/>
      <c r="D29" s="24"/>
      <c r="E29" s="24"/>
      <c r="F29" s="24"/>
      <c r="G29" s="24"/>
      <c r="H29" s="24"/>
      <c r="I29" s="24"/>
    </row>
  </sheetData>
  <mergeCells count="6">
    <mergeCell ref="B5:I5"/>
    <mergeCell ref="B8:I8"/>
    <mergeCell ref="B9:I9"/>
    <mergeCell ref="B10:I10"/>
    <mergeCell ref="B11:I11"/>
    <mergeCell ref="B29:I29"/>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889</v>
      </c>
      <c r="I1" s="17" t="s">
        <v>126</v>
      </c>
    </row>
    <row r="2" customFormat="false" ht="15" hidden="false" customHeight="false" outlineLevel="0" collapsed="false">
      <c r="B2" s="28" t="s">
        <v>890</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891</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892</v>
      </c>
      <c r="C8" s="20"/>
      <c r="D8" s="20"/>
      <c r="E8" s="20"/>
      <c r="F8" s="20"/>
      <c r="G8" s="20"/>
      <c r="H8" s="20"/>
      <c r="I8" s="20"/>
    </row>
    <row r="9" customFormat="false" ht="16.5" hidden="false" customHeight="true" outlineLevel="0" collapsed="false">
      <c r="B9" s="20" t="s">
        <v>893</v>
      </c>
      <c r="C9" s="20"/>
      <c r="D9" s="20"/>
      <c r="E9" s="20"/>
      <c r="F9" s="20"/>
      <c r="G9" s="20"/>
      <c r="H9" s="20"/>
      <c r="I9" s="20"/>
    </row>
    <row r="10" customFormat="false" ht="16.5" hidden="false" customHeight="true" outlineLevel="0" collapsed="false">
      <c r="B10" s="20" t="s">
        <v>894</v>
      </c>
      <c r="C10" s="20"/>
      <c r="D10" s="20"/>
      <c r="E10" s="20"/>
      <c r="F10" s="20"/>
      <c r="G10" s="20"/>
      <c r="H10" s="20"/>
      <c r="I10" s="20"/>
    </row>
    <row r="11" customFormat="false" ht="16.5" hidden="false" customHeight="true" outlineLevel="0" collapsed="false">
      <c r="B11" s="20" t="s">
        <v>895</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771</v>
      </c>
      <c r="C14" s="21" t="s">
        <v>896</v>
      </c>
      <c r="D14" s="21" t="s">
        <v>897</v>
      </c>
    </row>
    <row r="15" customFormat="false" ht="15" hidden="false" customHeight="false" outlineLevel="0" collapsed="false">
      <c r="B15" s="14" t="s">
        <v>774</v>
      </c>
      <c r="C15" s="42" t="n">
        <v>1.8</v>
      </c>
      <c r="D15" s="42" t="n">
        <v>3.5</v>
      </c>
    </row>
    <row r="16" customFormat="false" ht="15" hidden="false" customHeight="false" outlineLevel="0" collapsed="false">
      <c r="B16" s="14" t="s">
        <v>775</v>
      </c>
      <c r="C16" s="42" t="n">
        <v>2.2</v>
      </c>
      <c r="D16" s="42" t="n">
        <v>-2.8</v>
      </c>
    </row>
    <row r="17" customFormat="false" ht="15" hidden="false" customHeight="false" outlineLevel="0" collapsed="false">
      <c r="B17" s="14" t="s">
        <v>776</v>
      </c>
      <c r="C17" s="42" t="n">
        <v>-0.9</v>
      </c>
      <c r="D17" s="42" t="n">
        <v>4.9</v>
      </c>
    </row>
    <row r="18" customFormat="false" ht="15" hidden="false" customHeight="false" outlineLevel="0" collapsed="false">
      <c r="B18" s="14" t="s">
        <v>777</v>
      </c>
      <c r="C18" s="42" t="n">
        <v>1.5</v>
      </c>
      <c r="D18" s="42" t="n">
        <v>1.2</v>
      </c>
    </row>
    <row r="19" customFormat="false" ht="15" hidden="false" customHeight="false" outlineLevel="0" collapsed="false">
      <c r="B19" s="14" t="s">
        <v>778</v>
      </c>
      <c r="C19" s="42" t="n">
        <v>2.6</v>
      </c>
      <c r="D19" s="42" t="n">
        <v>-3.6</v>
      </c>
    </row>
    <row r="20" customFormat="false" ht="15" hidden="false" customHeight="false" outlineLevel="0" collapsed="false">
      <c r="B20" s="14" t="s">
        <v>779</v>
      </c>
      <c r="C20" s="42" t="n">
        <v>-1.2</v>
      </c>
      <c r="D20" s="42" t="n">
        <v>5.2</v>
      </c>
    </row>
    <row r="21" customFormat="false" ht="15" hidden="false" customHeight="false" outlineLevel="0" collapsed="false">
      <c r="B21" s="14" t="s">
        <v>780</v>
      </c>
      <c r="C21" s="42" t="n">
        <v>1.9</v>
      </c>
      <c r="D21" s="42" t="n">
        <v>2.1</v>
      </c>
    </row>
    <row r="22" customFormat="false" ht="15" hidden="false" customHeight="false" outlineLevel="0" collapsed="false">
      <c r="B22" s="14" t="s">
        <v>781</v>
      </c>
      <c r="C22" s="42" t="n">
        <v>0.7</v>
      </c>
      <c r="D22" s="42" t="n">
        <v>-1.9</v>
      </c>
    </row>
    <row r="23" customFormat="false" ht="15" hidden="false" customHeight="false" outlineLevel="0" collapsed="false">
      <c r="B23" s="14" t="s">
        <v>782</v>
      </c>
      <c r="C23" s="42" t="n">
        <v>2.4</v>
      </c>
      <c r="D23" s="42" t="n">
        <v>4.4</v>
      </c>
    </row>
    <row r="24" customFormat="false" ht="15" hidden="false" customHeight="false" outlineLevel="0" collapsed="false">
      <c r="B24" s="14" t="s">
        <v>783</v>
      </c>
      <c r="C24" s="42" t="n">
        <v>-0.5</v>
      </c>
      <c r="D24" s="42" t="n">
        <v>-2.2</v>
      </c>
    </row>
    <row r="25" customFormat="false" ht="15" hidden="false" customHeight="false" outlineLevel="0" collapsed="false">
      <c r="B25" s="14" t="s">
        <v>784</v>
      </c>
      <c r="C25" s="42" t="n">
        <v>1.6</v>
      </c>
      <c r="D25" s="42" t="n">
        <v>3.8</v>
      </c>
    </row>
    <row r="26" customFormat="false" ht="15" hidden="false" customHeight="false" outlineLevel="0" collapsed="false">
      <c r="B26" s="14" t="s">
        <v>785</v>
      </c>
      <c r="C26" s="42" t="n">
        <v>1.1</v>
      </c>
      <c r="D26" s="42" t="n">
        <v>0.6</v>
      </c>
    </row>
    <row r="27" customFormat="false" ht="15" hidden="false" customHeight="false" outlineLevel="0" collapsed="false">
      <c r="B27" s="14" t="s">
        <v>898</v>
      </c>
      <c r="C27" s="29" t="n">
        <v>6.5</v>
      </c>
    </row>
    <row r="28" customFormat="false" ht="15" hidden="false" customHeight="false" outlineLevel="0" collapsed="false">
      <c r="B28" s="14" t="s">
        <v>899</v>
      </c>
      <c r="C28" s="32" t="n">
        <v>12</v>
      </c>
    </row>
    <row r="30" customFormat="false" ht="15" hidden="false" customHeight="false" outlineLevel="0" collapsed="false">
      <c r="B30" s="33" t="s">
        <v>201</v>
      </c>
      <c r="C30" s="34"/>
      <c r="D30" s="34"/>
      <c r="E30" s="34"/>
      <c r="F30" s="34"/>
      <c r="G30" s="34"/>
      <c r="H30" s="34"/>
      <c r="I30" s="34"/>
    </row>
    <row r="31" customFormat="false" ht="15" hidden="false" customHeight="false" outlineLevel="0" collapsed="false">
      <c r="B31" s="11" t="s">
        <v>140</v>
      </c>
      <c r="C31" s="21" t="s">
        <v>900</v>
      </c>
      <c r="D31" s="21" t="s">
        <v>901</v>
      </c>
    </row>
    <row r="32" customFormat="false" ht="15" hidden="false" customHeight="false" outlineLevel="0" collapsed="false">
      <c r="B32" s="14" t="s">
        <v>902</v>
      </c>
      <c r="C32" s="47"/>
      <c r="D32" s="47"/>
    </row>
    <row r="33" customFormat="false" ht="15" hidden="false" customHeight="false" outlineLevel="0" collapsed="false">
      <c r="B33" s="14" t="s">
        <v>736</v>
      </c>
      <c r="C33" s="47"/>
      <c r="D33" s="47"/>
    </row>
    <row r="34" customFormat="false" ht="15" hidden="false" customHeight="false" outlineLevel="0" collapsed="false">
      <c r="B34" s="14" t="s">
        <v>903</v>
      </c>
      <c r="C34" s="47"/>
      <c r="D34" s="47"/>
    </row>
    <row r="35" customFormat="false" ht="15" hidden="false" customHeight="false" outlineLevel="0" collapsed="false">
      <c r="B35" s="14" t="s">
        <v>904</v>
      </c>
      <c r="C35" s="43"/>
      <c r="D35" s="43"/>
    </row>
    <row r="36" customFormat="false" ht="15" hidden="false" customHeight="false" outlineLevel="0" collapsed="false">
      <c r="B36" s="14" t="s">
        <v>905</v>
      </c>
      <c r="C36" s="43"/>
      <c r="D36" s="43"/>
    </row>
    <row r="37" customFormat="false" ht="15" hidden="false" customHeight="false" outlineLevel="0" collapsed="false">
      <c r="B37" s="22" t="s">
        <v>906</v>
      </c>
      <c r="C37" s="47"/>
      <c r="D37" s="47"/>
    </row>
    <row r="38" customFormat="false" ht="15" hidden="false" customHeight="false" outlineLevel="0" collapsed="false">
      <c r="B38" s="14" t="s">
        <v>907</v>
      </c>
      <c r="C38" s="47"/>
      <c r="D38" s="47"/>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908</v>
      </c>
      <c r="I1" s="17" t="s">
        <v>126</v>
      </c>
    </row>
    <row r="2" customFormat="false" ht="15" hidden="false" customHeight="false" outlineLevel="0" collapsed="false">
      <c r="B2" s="28" t="s">
        <v>909</v>
      </c>
    </row>
    <row r="4" customFormat="false" ht="15" hidden="false" customHeight="false" outlineLevel="0" collapsed="false">
      <c r="B4" s="18" t="s">
        <v>182</v>
      </c>
      <c r="C4" s="19"/>
      <c r="D4" s="19"/>
      <c r="E4" s="19"/>
      <c r="F4" s="19"/>
      <c r="G4" s="19"/>
      <c r="H4" s="19"/>
      <c r="I4" s="19"/>
    </row>
    <row r="5" customFormat="false" ht="43.5" hidden="false" customHeight="true" outlineLevel="0" collapsed="false">
      <c r="B5" s="20" t="s">
        <v>910</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911</v>
      </c>
      <c r="C8" s="20"/>
      <c r="D8" s="20"/>
      <c r="E8" s="20"/>
      <c r="F8" s="20"/>
      <c r="G8" s="20"/>
      <c r="H8" s="20"/>
      <c r="I8" s="20"/>
    </row>
    <row r="9" customFormat="false" ht="16.5" hidden="false" customHeight="true" outlineLevel="0" collapsed="false">
      <c r="B9" s="20" t="s">
        <v>912</v>
      </c>
      <c r="C9" s="20"/>
      <c r="D9" s="20"/>
      <c r="E9" s="20"/>
      <c r="F9" s="20"/>
      <c r="G9" s="20"/>
      <c r="H9" s="20"/>
      <c r="I9" s="20"/>
    </row>
    <row r="10" customFormat="false" ht="16.5" hidden="false" customHeight="true" outlineLevel="0" collapsed="false">
      <c r="B10" s="20" t="s">
        <v>913</v>
      </c>
      <c r="C10" s="20"/>
      <c r="D10" s="20"/>
      <c r="E10" s="20"/>
      <c r="F10" s="20"/>
      <c r="G10" s="20"/>
      <c r="H10" s="20"/>
      <c r="I10" s="20"/>
    </row>
    <row r="11" customFormat="false" ht="16.5" hidden="false" customHeight="true" outlineLevel="0" collapsed="false">
      <c r="B11" s="20" t="s">
        <v>914</v>
      </c>
      <c r="C11" s="20"/>
      <c r="D11" s="20"/>
      <c r="E11" s="20"/>
      <c r="F11" s="20"/>
      <c r="G11" s="20"/>
      <c r="H11" s="20"/>
      <c r="I11" s="20"/>
    </row>
    <row r="12" customFormat="false" ht="16.5" hidden="false" customHeight="true" outlineLevel="0" collapsed="false">
      <c r="B12" s="20" t="s">
        <v>915</v>
      </c>
      <c r="C12" s="20"/>
      <c r="D12" s="20"/>
      <c r="E12" s="20"/>
      <c r="F12" s="20"/>
      <c r="G12" s="20"/>
      <c r="H12" s="20"/>
      <c r="I12" s="20"/>
    </row>
    <row r="14" customFormat="false" ht="15" hidden="false" customHeight="false" outlineLevel="0" collapsed="false">
      <c r="B14" s="18" t="s">
        <v>189</v>
      </c>
      <c r="C14" s="19"/>
      <c r="D14" s="19"/>
      <c r="E14" s="19"/>
      <c r="F14" s="19"/>
      <c r="G14" s="19"/>
      <c r="H14" s="19"/>
      <c r="I14" s="19"/>
    </row>
    <row r="15" customFormat="false" ht="15" hidden="false" customHeight="false" outlineLevel="0" collapsed="false">
      <c r="B15" s="11" t="s">
        <v>771</v>
      </c>
      <c r="C15" s="21" t="s">
        <v>916</v>
      </c>
      <c r="D15" s="21" t="s">
        <v>917</v>
      </c>
    </row>
    <row r="16" customFormat="false" ht="15" hidden="false" customHeight="false" outlineLevel="0" collapsed="false">
      <c r="B16" s="14" t="s">
        <v>774</v>
      </c>
      <c r="C16" s="42" t="n">
        <v>12</v>
      </c>
      <c r="D16" s="42" t="n">
        <v>9.8</v>
      </c>
    </row>
    <row r="17" customFormat="false" ht="15" hidden="false" customHeight="false" outlineLevel="0" collapsed="false">
      <c r="B17" s="14" t="s">
        <v>775</v>
      </c>
      <c r="C17" s="42" t="n">
        <v>15</v>
      </c>
      <c r="D17" s="42" t="n">
        <v>11.6</v>
      </c>
    </row>
    <row r="18" customFormat="false" ht="15" hidden="false" customHeight="false" outlineLevel="0" collapsed="false">
      <c r="B18" s="14" t="s">
        <v>776</v>
      </c>
      <c r="C18" s="42" t="n">
        <v>10</v>
      </c>
      <c r="D18" s="42" t="n">
        <v>8.7</v>
      </c>
    </row>
    <row r="19" customFormat="false" ht="15" hidden="false" customHeight="false" outlineLevel="0" collapsed="false">
      <c r="B19" s="14" t="s">
        <v>777</v>
      </c>
      <c r="C19" s="42" t="n">
        <v>18</v>
      </c>
      <c r="D19" s="42" t="n">
        <v>12.4</v>
      </c>
    </row>
    <row r="20" customFormat="false" ht="15" hidden="false" customHeight="false" outlineLevel="0" collapsed="false">
      <c r="B20" s="14" t="s">
        <v>778</v>
      </c>
      <c r="C20" s="42" t="n">
        <v>14</v>
      </c>
      <c r="D20" s="42" t="n">
        <v>11.2</v>
      </c>
    </row>
    <row r="21" customFormat="false" ht="15" hidden="false" customHeight="false" outlineLevel="0" collapsed="false">
      <c r="B21" s="14" t="s">
        <v>779</v>
      </c>
      <c r="C21" s="42" t="n">
        <v>20</v>
      </c>
      <c r="D21" s="42" t="n">
        <v>13.9</v>
      </c>
    </row>
    <row r="22" customFormat="false" ht="15" hidden="false" customHeight="false" outlineLevel="0" collapsed="false">
      <c r="B22" s="14" t="s">
        <v>780</v>
      </c>
      <c r="C22" s="42" t="n">
        <v>16</v>
      </c>
      <c r="D22" s="42" t="n">
        <v>11.5</v>
      </c>
    </row>
    <row r="23" customFormat="false" ht="15" hidden="false" customHeight="false" outlineLevel="0" collapsed="false">
      <c r="B23" s="14" t="s">
        <v>781</v>
      </c>
      <c r="C23" s="42" t="n">
        <v>11</v>
      </c>
      <c r="D23" s="42" t="n">
        <v>9.6</v>
      </c>
    </row>
    <row r="25" customFormat="false" ht="15" hidden="false" customHeight="false" outlineLevel="0" collapsed="false">
      <c r="B25" s="11" t="s">
        <v>190</v>
      </c>
      <c r="C25" s="21" t="s">
        <v>191</v>
      </c>
    </row>
    <row r="26" customFormat="false" ht="15" hidden="false" customHeight="false" outlineLevel="0" collapsed="false">
      <c r="B26" s="14" t="s">
        <v>918</v>
      </c>
      <c r="C26" s="29" t="n">
        <v>17</v>
      </c>
    </row>
    <row r="27" customFormat="false" ht="15" hidden="false" customHeight="false" outlineLevel="0" collapsed="false">
      <c r="B27" s="14" t="s">
        <v>919</v>
      </c>
      <c r="C27" s="29" t="n">
        <v>19</v>
      </c>
    </row>
    <row r="28" customFormat="false" ht="15" hidden="false" customHeight="false" outlineLevel="0" collapsed="false">
      <c r="B28" s="14" t="s">
        <v>920</v>
      </c>
      <c r="C28" s="29" t="n">
        <v>13.9</v>
      </c>
    </row>
    <row r="29" customFormat="false" ht="15" hidden="false" customHeight="false" outlineLevel="0" collapsed="false">
      <c r="B29" s="14" t="s">
        <v>921</v>
      </c>
      <c r="C29" s="32" t="n">
        <v>100000</v>
      </c>
    </row>
    <row r="31" customFormat="false" ht="15" hidden="false" customHeight="false" outlineLevel="0" collapsed="false">
      <c r="B31" s="33" t="s">
        <v>201</v>
      </c>
      <c r="C31" s="34"/>
      <c r="D31" s="34"/>
      <c r="E31" s="34"/>
      <c r="F31" s="34"/>
      <c r="G31" s="34"/>
      <c r="H31" s="34"/>
      <c r="I31" s="34"/>
    </row>
    <row r="32" customFormat="false" ht="15" hidden="false" customHeight="false" outlineLevel="0" collapsed="false">
      <c r="B32" s="14" t="s">
        <v>922</v>
      </c>
      <c r="C32" s="47"/>
    </row>
    <row r="33" customFormat="false" ht="15" hidden="false" customHeight="false" outlineLevel="0" collapsed="false">
      <c r="B33" s="14" t="s">
        <v>923</v>
      </c>
      <c r="C33" s="47"/>
    </row>
    <row r="34" customFormat="false" ht="15" hidden="false" customHeight="false" outlineLevel="0" collapsed="false">
      <c r="B34" s="14" t="s">
        <v>795</v>
      </c>
      <c r="C34" s="47"/>
    </row>
    <row r="35" customFormat="false" ht="15" hidden="false" customHeight="false" outlineLevel="0" collapsed="false">
      <c r="B35" s="14" t="s">
        <v>924</v>
      </c>
      <c r="C35" s="43"/>
    </row>
    <row r="36" customFormat="false" ht="15" hidden="false" customHeight="false" outlineLevel="0" collapsed="false">
      <c r="B36" s="14" t="s">
        <v>925</v>
      </c>
      <c r="C36" s="47"/>
    </row>
    <row r="37" customFormat="false" ht="15" hidden="false" customHeight="false" outlineLevel="0" collapsed="false">
      <c r="B37" s="14" t="s">
        <v>926</v>
      </c>
      <c r="C37" s="47"/>
    </row>
    <row r="38" customFormat="false" ht="15" hidden="false" customHeight="false" outlineLevel="0" collapsed="false">
      <c r="B38" s="14" t="s">
        <v>927</v>
      </c>
      <c r="C38" s="47"/>
    </row>
    <row r="39" customFormat="false" ht="15" hidden="false" customHeight="false" outlineLevel="0" collapsed="false">
      <c r="B39" s="14" t="s">
        <v>928</v>
      </c>
      <c r="C39" s="45"/>
    </row>
    <row r="40" customFormat="false" ht="15" hidden="false" customHeight="false" outlineLevel="0" collapsed="false">
      <c r="B40" s="22" t="s">
        <v>929</v>
      </c>
      <c r="C40" s="47"/>
    </row>
    <row r="41" customFormat="false" ht="15" hidden="false" customHeight="false" outlineLevel="0" collapsed="false">
      <c r="B41" s="14" t="s">
        <v>928</v>
      </c>
      <c r="C41" s="45"/>
    </row>
    <row r="42" customFormat="false" ht="15" hidden="false" customHeight="false" outlineLevel="0" collapsed="false">
      <c r="B42" s="14" t="s">
        <v>930</v>
      </c>
      <c r="C42" s="47"/>
    </row>
    <row r="44" customFormat="false" ht="15" hidden="false" customHeight="false" outlineLevel="0" collapsed="false">
      <c r="B44" s="39" t="s">
        <v>251</v>
      </c>
      <c r="C44" s="40"/>
      <c r="D44" s="40"/>
      <c r="E44" s="40"/>
      <c r="F44" s="40"/>
      <c r="G44" s="40"/>
      <c r="H44" s="40"/>
      <c r="I44" s="40"/>
    </row>
    <row r="45" customFormat="false" ht="30" hidden="false" customHeight="true" outlineLevel="0" collapsed="false">
      <c r="B45" s="24" t="s">
        <v>931</v>
      </c>
      <c r="C45" s="24"/>
      <c r="D45" s="24"/>
      <c r="E45" s="24"/>
      <c r="F45" s="24"/>
      <c r="G45" s="24"/>
      <c r="H45" s="24"/>
      <c r="I45" s="24"/>
    </row>
  </sheetData>
  <mergeCells count="7">
    <mergeCell ref="B5:I5"/>
    <mergeCell ref="B8:I8"/>
    <mergeCell ref="B9:I9"/>
    <mergeCell ref="B10:I10"/>
    <mergeCell ref="B11:I11"/>
    <mergeCell ref="B12:I12"/>
    <mergeCell ref="B45:I45"/>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15" min="3" style="0" width="15"/>
  </cols>
  <sheetData>
    <row r="1" customFormat="false" ht="17.35" hidden="false" customHeight="false" outlineLevel="0" collapsed="false">
      <c r="B1" s="16" t="s">
        <v>932</v>
      </c>
      <c r="I1" s="17" t="s">
        <v>126</v>
      </c>
    </row>
    <row r="2" customFormat="false" ht="15" hidden="false" customHeight="false" outlineLevel="0" collapsed="false">
      <c r="B2" s="28" t="s">
        <v>933</v>
      </c>
    </row>
    <row r="4" customFormat="false" ht="15" hidden="false" customHeight="false" outlineLevel="0" collapsed="false">
      <c r="B4" s="18" t="s">
        <v>182</v>
      </c>
      <c r="C4" s="19"/>
      <c r="D4" s="19"/>
      <c r="E4" s="19"/>
      <c r="F4" s="19"/>
      <c r="G4" s="19"/>
      <c r="H4" s="19"/>
      <c r="I4" s="19"/>
    </row>
    <row r="5" customFormat="false" ht="30" hidden="false" customHeight="true" outlineLevel="0" collapsed="false">
      <c r="B5" s="20" t="s">
        <v>934</v>
      </c>
      <c r="C5" s="20"/>
      <c r="D5" s="20"/>
      <c r="E5" s="20"/>
      <c r="F5" s="20"/>
      <c r="G5" s="20"/>
      <c r="H5" s="20"/>
      <c r="I5" s="20"/>
    </row>
    <row r="7" customFormat="false" ht="15" hidden="false" customHeight="false" outlineLevel="0" collapsed="false">
      <c r="B7" s="18" t="s">
        <v>184</v>
      </c>
      <c r="C7" s="19"/>
      <c r="D7" s="19"/>
      <c r="E7" s="19"/>
      <c r="F7" s="19"/>
      <c r="G7" s="19"/>
      <c r="H7" s="19"/>
      <c r="I7" s="19"/>
    </row>
    <row r="8" customFormat="false" ht="16.5" hidden="false" customHeight="true" outlineLevel="0" collapsed="false">
      <c r="B8" s="20" t="s">
        <v>935</v>
      </c>
      <c r="C8" s="20"/>
      <c r="D8" s="20"/>
      <c r="E8" s="20"/>
      <c r="F8" s="20"/>
      <c r="G8" s="20"/>
      <c r="H8" s="20"/>
      <c r="I8" s="20"/>
    </row>
    <row r="9" customFormat="false" ht="16.5" hidden="false" customHeight="true" outlineLevel="0" collapsed="false">
      <c r="B9" s="20" t="s">
        <v>936</v>
      </c>
      <c r="C9" s="20"/>
      <c r="D9" s="20"/>
      <c r="E9" s="20"/>
      <c r="F9" s="20"/>
      <c r="G9" s="20"/>
      <c r="H9" s="20"/>
      <c r="I9" s="20"/>
    </row>
    <row r="10" customFormat="false" ht="16.5" hidden="false" customHeight="true" outlineLevel="0" collapsed="false">
      <c r="B10" s="20" t="s">
        <v>937</v>
      </c>
      <c r="C10" s="20"/>
      <c r="D10" s="20"/>
      <c r="E10" s="20"/>
      <c r="F10" s="20"/>
      <c r="G10" s="20"/>
      <c r="H10" s="20"/>
      <c r="I10" s="20"/>
    </row>
    <row r="11" customFormat="false" ht="16.5" hidden="false" customHeight="true" outlineLevel="0" collapsed="false">
      <c r="B11" s="20" t="s">
        <v>938</v>
      </c>
      <c r="C11" s="20"/>
      <c r="D11" s="20"/>
      <c r="E11" s="20"/>
      <c r="F11" s="20"/>
      <c r="G11" s="20"/>
      <c r="H11" s="20"/>
      <c r="I11" s="20"/>
    </row>
    <row r="13" customFormat="false" ht="15" hidden="false" customHeight="false" outlineLevel="0" collapsed="false">
      <c r="B13" s="18" t="s">
        <v>189</v>
      </c>
      <c r="C13" s="19"/>
      <c r="D13" s="19"/>
      <c r="E13" s="19"/>
      <c r="F13" s="19"/>
      <c r="G13" s="19"/>
      <c r="H13" s="19"/>
      <c r="I13" s="19"/>
    </row>
    <row r="14" customFormat="false" ht="15" hidden="false" customHeight="false" outlineLevel="0" collapsed="false">
      <c r="B14" s="11" t="s">
        <v>190</v>
      </c>
      <c r="C14" s="21" t="s">
        <v>191</v>
      </c>
    </row>
    <row r="15" customFormat="false" ht="15" hidden="false" customHeight="false" outlineLevel="0" collapsed="false">
      <c r="B15" s="14" t="s">
        <v>939</v>
      </c>
      <c r="C15" s="32" t="n">
        <v>60</v>
      </c>
    </row>
    <row r="16" customFormat="false" ht="15" hidden="false" customHeight="false" outlineLevel="0" collapsed="false">
      <c r="B16" s="14" t="s">
        <v>940</v>
      </c>
      <c r="C16" s="32" t="n">
        <v>2</v>
      </c>
    </row>
    <row r="17" customFormat="false" ht="15" hidden="false" customHeight="false" outlineLevel="0" collapsed="false">
      <c r="B17" s="14" t="s">
        <v>941</v>
      </c>
      <c r="C17" s="29" t="n">
        <v>450</v>
      </c>
    </row>
    <row r="18" customFormat="false" ht="15" hidden="false" customHeight="false" outlineLevel="0" collapsed="false">
      <c r="B18" s="14" t="s">
        <v>942</v>
      </c>
      <c r="C18" s="29" t="n">
        <v>315</v>
      </c>
    </row>
    <row r="19" customFormat="false" ht="15" hidden="false" customHeight="false" outlineLevel="0" collapsed="false">
      <c r="B19" s="14" t="s">
        <v>816</v>
      </c>
      <c r="C19" s="46" t="n">
        <v>0.05</v>
      </c>
    </row>
    <row r="21" customFormat="false" ht="15" hidden="false" customHeight="false" outlineLevel="0" collapsed="false">
      <c r="B21" s="33" t="s">
        <v>201</v>
      </c>
      <c r="C21" s="34"/>
      <c r="D21" s="34"/>
      <c r="E21" s="34"/>
      <c r="F21" s="34"/>
      <c r="G21" s="34"/>
      <c r="H21" s="34"/>
      <c r="I21" s="34"/>
    </row>
    <row r="22" customFormat="false" ht="15" hidden="false" customHeight="false" outlineLevel="0" collapsed="false">
      <c r="B22" s="14" t="s">
        <v>943</v>
      </c>
      <c r="C22" s="43"/>
    </row>
    <row r="23" customFormat="false" ht="15" hidden="false" customHeight="false" outlineLevel="0" collapsed="false">
      <c r="B23" s="14" t="s">
        <v>944</v>
      </c>
      <c r="C23" s="50"/>
    </row>
    <row r="24" customFormat="false" ht="15" hidden="false" customHeight="false" outlineLevel="0" collapsed="false">
      <c r="B24" s="14" t="s">
        <v>945</v>
      </c>
      <c r="C24" s="50"/>
    </row>
    <row r="25" customFormat="false" ht="15" hidden="false" customHeight="false" outlineLevel="0" collapsed="false">
      <c r="B25" s="14" t="s">
        <v>946</v>
      </c>
      <c r="C25" s="50"/>
    </row>
    <row r="26" customFormat="false" ht="15" hidden="false" customHeight="false" outlineLevel="0" collapsed="false">
      <c r="B26" s="14" t="s">
        <v>947</v>
      </c>
      <c r="C26" s="47"/>
    </row>
    <row r="27" customFormat="false" ht="15" hidden="false" customHeight="false" outlineLevel="0" collapsed="false">
      <c r="B27" s="14" t="s">
        <v>948</v>
      </c>
      <c r="C27" s="47"/>
    </row>
    <row r="28" customFormat="false" ht="15" hidden="false" customHeight="false" outlineLevel="0" collapsed="false">
      <c r="B28" s="22" t="s">
        <v>734</v>
      </c>
      <c r="C28" s="43"/>
    </row>
    <row r="29" customFormat="false" ht="15" hidden="false" customHeight="false" outlineLevel="0" collapsed="false">
      <c r="B29" s="14" t="s">
        <v>949</v>
      </c>
      <c r="C29" s="47"/>
    </row>
    <row r="30" customFormat="false" ht="15" hidden="false" customHeight="false" outlineLevel="0" collapsed="false">
      <c r="B30" s="14" t="s">
        <v>795</v>
      </c>
      <c r="C30" s="47"/>
    </row>
    <row r="31" customFormat="false" ht="15" hidden="false" customHeight="false" outlineLevel="0" collapsed="false">
      <c r="B31" s="14" t="s">
        <v>732</v>
      </c>
      <c r="C31" s="47"/>
    </row>
    <row r="32" customFormat="false" ht="15" hidden="false" customHeight="false" outlineLevel="0" collapsed="false">
      <c r="B32" s="14" t="s">
        <v>950</v>
      </c>
      <c r="C32" s="47"/>
    </row>
    <row r="33" customFormat="false" ht="15" hidden="false" customHeight="false" outlineLevel="0" collapsed="false">
      <c r="B33" s="14" t="s">
        <v>951</v>
      </c>
      <c r="C33" s="45"/>
    </row>
  </sheetData>
  <mergeCells count="5">
    <mergeCell ref="B5:I5"/>
    <mergeCell ref="B8:I8"/>
    <mergeCell ref="B9:I9"/>
    <mergeCell ref="B10:I10"/>
    <mergeCell ref="B11:I11"/>
  </mergeCells>
  <hyperlinks>
    <hyperlink ref="I1" r:id="rId1" location="'Index'!A1" display="◄ Back to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15" min="5" style="0" width="15"/>
  </cols>
  <sheetData>
    <row r="1" customFormat="false" ht="17.35" hidden="false" customHeight="false" outlineLevel="0" collapsed="false">
      <c r="B1" s="16" t="s">
        <v>952</v>
      </c>
    </row>
    <row r="3" customFormat="false" ht="15" hidden="false" customHeight="false" outlineLevel="0" collapsed="false">
      <c r="B3" s="18" t="s">
        <v>953</v>
      </c>
      <c r="C3" s="19"/>
      <c r="D3" s="19"/>
      <c r="E3" s="19"/>
      <c r="F3" s="19"/>
      <c r="G3" s="19"/>
      <c r="H3" s="19"/>
      <c r="I3" s="19"/>
    </row>
    <row r="4" customFormat="false" ht="15" hidden="false" customHeight="false" outlineLevel="0" collapsed="false">
      <c r="B4" s="11" t="s">
        <v>954</v>
      </c>
      <c r="C4" s="21" t="s">
        <v>955</v>
      </c>
    </row>
    <row r="5" customFormat="false" ht="15" hidden="false" customHeight="false" outlineLevel="0" collapsed="false">
      <c r="B5" s="59" t="n">
        <v>0.9</v>
      </c>
      <c r="C5" s="60" t="n">
        <f aca="false">_xlfn.NORM.S.INV(B5)</f>
        <v>1.2815515655446</v>
      </c>
    </row>
    <row r="6" customFormat="false" ht="15" hidden="false" customHeight="false" outlineLevel="0" collapsed="false">
      <c r="B6" s="59" t="n">
        <v>0.95</v>
      </c>
      <c r="C6" s="60" t="n">
        <f aca="false">_xlfn.NORM.S.INV(B6)</f>
        <v>1.64485362695147</v>
      </c>
    </row>
    <row r="7" customFormat="false" ht="15" hidden="false" customHeight="false" outlineLevel="0" collapsed="false">
      <c r="B7" s="59" t="n">
        <v>0.975</v>
      </c>
      <c r="C7" s="60" t="n">
        <f aca="false">_xlfn.NORM.S.INV(B7)</f>
        <v>1.95996398454005</v>
      </c>
    </row>
    <row r="8" customFormat="false" ht="15" hidden="false" customHeight="false" outlineLevel="0" collapsed="false">
      <c r="B8" s="59" t="n">
        <v>0.99</v>
      </c>
      <c r="C8" s="60" t="n">
        <f aca="false">_xlfn.NORM.S.INV(B8)</f>
        <v>2.32634787404084</v>
      </c>
    </row>
    <row r="9" customFormat="false" ht="15" hidden="false" customHeight="false" outlineLevel="0" collapsed="false">
      <c r="B9" s="59" t="n">
        <v>0.999</v>
      </c>
      <c r="C9" s="60" t="n">
        <f aca="false">_xlfn.NORM.S.INV(B9)</f>
        <v>3.09023230616781</v>
      </c>
    </row>
    <row r="11" customFormat="false" ht="15" hidden="false" customHeight="false" outlineLevel="0" collapsed="false">
      <c r="B11" s="18" t="s">
        <v>956</v>
      </c>
      <c r="C11" s="19"/>
      <c r="D11" s="19"/>
      <c r="E11" s="19"/>
      <c r="F11" s="19"/>
      <c r="G11" s="19"/>
      <c r="H11" s="19"/>
      <c r="I11" s="19"/>
    </row>
    <row r="12" customFormat="false" ht="15" hidden="false" customHeight="false" outlineLevel="0" collapsed="false">
      <c r="B12" s="11" t="s">
        <v>140</v>
      </c>
      <c r="C12" s="21" t="s">
        <v>141</v>
      </c>
    </row>
    <row r="13" customFormat="false" ht="15" hidden="false" customHeight="false" outlineLevel="0" collapsed="false">
      <c r="B13" s="22" t="s">
        <v>142</v>
      </c>
      <c r="C13" s="61" t="s">
        <v>143</v>
      </c>
    </row>
    <row r="14" customFormat="false" ht="15" hidden="false" customHeight="false" outlineLevel="0" collapsed="false">
      <c r="B14" s="22" t="s">
        <v>144</v>
      </c>
      <c r="C14" s="61" t="s">
        <v>145</v>
      </c>
    </row>
    <row r="15" customFormat="false" ht="15" hidden="false" customHeight="false" outlineLevel="0" collapsed="false">
      <c r="B15" s="22" t="s">
        <v>146</v>
      </c>
      <c r="C15" s="61" t="s">
        <v>147</v>
      </c>
    </row>
    <row r="16" customFormat="false" ht="15" hidden="false" customHeight="false" outlineLevel="0" collapsed="false">
      <c r="B16" s="22" t="s">
        <v>148</v>
      </c>
      <c r="C16" s="61" t="s">
        <v>149</v>
      </c>
    </row>
    <row r="17" customFormat="false" ht="15" hidden="false" customHeight="false" outlineLevel="0" collapsed="false">
      <c r="B17" s="22" t="s">
        <v>150</v>
      </c>
      <c r="C17" s="61" t="s">
        <v>151</v>
      </c>
    </row>
    <row r="18" customFormat="false" ht="15" hidden="false" customHeight="false" outlineLevel="0" collapsed="false">
      <c r="B18" s="22" t="s">
        <v>152</v>
      </c>
      <c r="C18" s="61" t="s">
        <v>153</v>
      </c>
    </row>
    <row r="19" customFormat="false" ht="15" hidden="false" customHeight="false" outlineLevel="0" collapsed="false">
      <c r="B19" s="22" t="s">
        <v>154</v>
      </c>
      <c r="C19" s="61" t="s">
        <v>155</v>
      </c>
    </row>
    <row r="21" customFormat="false" ht="15" hidden="false" customHeight="false" outlineLevel="0" collapsed="false">
      <c r="B21" s="18" t="s">
        <v>957</v>
      </c>
      <c r="C21" s="19"/>
      <c r="D21" s="19"/>
      <c r="E21" s="19"/>
      <c r="F21" s="19"/>
      <c r="G21" s="19"/>
      <c r="H21" s="19"/>
      <c r="I21" s="19"/>
    </row>
    <row r="22" customFormat="false" ht="15" hidden="false" customHeight="false" outlineLevel="0" collapsed="false">
      <c r="B22" s="11" t="s">
        <v>140</v>
      </c>
      <c r="C22" s="21" t="s">
        <v>141</v>
      </c>
    </row>
    <row r="23" customFormat="false" ht="15" hidden="false" customHeight="false" outlineLevel="0" collapsed="false">
      <c r="B23" s="22" t="s">
        <v>352</v>
      </c>
      <c r="C23" s="61" t="s">
        <v>353</v>
      </c>
    </row>
    <row r="24" customFormat="false" ht="15" hidden="false" customHeight="false" outlineLevel="0" collapsed="false">
      <c r="B24" s="22" t="s">
        <v>284</v>
      </c>
      <c r="C24" s="61" t="s">
        <v>354</v>
      </c>
    </row>
    <row r="25" customFormat="false" ht="15" hidden="false" customHeight="false" outlineLevel="0" collapsed="false">
      <c r="B25" s="22" t="s">
        <v>355</v>
      </c>
      <c r="C25" s="61" t="s">
        <v>356</v>
      </c>
    </row>
    <row r="26" customFormat="false" ht="15" hidden="false" customHeight="false" outlineLevel="0" collapsed="false">
      <c r="B26" s="22" t="s">
        <v>357</v>
      </c>
      <c r="C26" s="61" t="s">
        <v>358</v>
      </c>
    </row>
    <row r="27" customFormat="false" ht="15" hidden="false" customHeight="false" outlineLevel="0" collapsed="false">
      <c r="B27" s="22" t="s">
        <v>359</v>
      </c>
      <c r="C27" s="61" t="s">
        <v>360</v>
      </c>
    </row>
    <row r="28" customFormat="false" ht="15" hidden="false" customHeight="false" outlineLevel="0" collapsed="false">
      <c r="B28" s="22" t="s">
        <v>361</v>
      </c>
      <c r="C28" s="61" t="s">
        <v>362</v>
      </c>
    </row>
    <row r="29" customFormat="false" ht="15" hidden="false" customHeight="false" outlineLevel="0" collapsed="false">
      <c r="B29" s="22" t="s">
        <v>363</v>
      </c>
      <c r="C29" s="61" t="s">
        <v>364</v>
      </c>
    </row>
    <row r="30" customFormat="false" ht="15" hidden="false" customHeight="false" outlineLevel="0" collapsed="false">
      <c r="B30" s="22" t="s">
        <v>365</v>
      </c>
      <c r="C30" s="61" t="s">
        <v>366</v>
      </c>
    </row>
    <row r="32" customFormat="false" ht="15" hidden="false" customHeight="false" outlineLevel="0" collapsed="false">
      <c r="B32" s="18" t="s">
        <v>958</v>
      </c>
      <c r="C32" s="19"/>
      <c r="D32" s="19"/>
      <c r="E32" s="19"/>
      <c r="F32" s="19"/>
      <c r="G32" s="19"/>
      <c r="H32" s="19"/>
      <c r="I32" s="19"/>
    </row>
    <row r="33" customFormat="false" ht="15" hidden="false" customHeight="false" outlineLevel="0" collapsed="false">
      <c r="B33" s="11" t="s">
        <v>140</v>
      </c>
      <c r="C33" s="21" t="s">
        <v>141</v>
      </c>
    </row>
    <row r="34" customFormat="false" ht="15" hidden="false" customHeight="false" outlineLevel="0" collapsed="false">
      <c r="B34" s="22" t="s">
        <v>549</v>
      </c>
      <c r="C34" s="61" t="s">
        <v>550</v>
      </c>
    </row>
    <row r="35" customFormat="false" ht="15" hidden="false" customHeight="false" outlineLevel="0" collapsed="false">
      <c r="B35" s="22" t="s">
        <v>551</v>
      </c>
      <c r="C35" s="61" t="s">
        <v>552</v>
      </c>
    </row>
    <row r="36" customFormat="false" ht="15" hidden="false" customHeight="false" outlineLevel="0" collapsed="false">
      <c r="B36" s="22" t="s">
        <v>553</v>
      </c>
      <c r="C36" s="61" t="s">
        <v>554</v>
      </c>
    </row>
    <row r="37" customFormat="false" ht="15" hidden="false" customHeight="false" outlineLevel="0" collapsed="false">
      <c r="B37" s="22" t="s">
        <v>555</v>
      </c>
      <c r="C37" s="61" t="s">
        <v>556</v>
      </c>
    </row>
    <row r="38" customFormat="false" ht="15" hidden="false" customHeight="false" outlineLevel="0" collapsed="false">
      <c r="B38" s="22" t="s">
        <v>557</v>
      </c>
      <c r="C38" s="61" t="s">
        <v>558</v>
      </c>
    </row>
    <row r="39" customFormat="false" ht="15" hidden="false" customHeight="false" outlineLevel="0" collapsed="false">
      <c r="B39" s="22" t="s">
        <v>559</v>
      </c>
      <c r="C39" s="61" t="s">
        <v>560</v>
      </c>
    </row>
    <row r="41" customFormat="false" ht="15" hidden="false" customHeight="false" outlineLevel="0" collapsed="false">
      <c r="B41" s="18" t="s">
        <v>959</v>
      </c>
      <c r="C41" s="19"/>
      <c r="D41" s="19"/>
      <c r="E41" s="19"/>
      <c r="F41" s="19"/>
      <c r="G41" s="19"/>
      <c r="H41" s="19"/>
      <c r="I41" s="19"/>
    </row>
    <row r="42" customFormat="false" ht="15" hidden="false" customHeight="false" outlineLevel="0" collapsed="false">
      <c r="B42" s="11" t="s">
        <v>140</v>
      </c>
      <c r="C42" s="21" t="s">
        <v>141</v>
      </c>
    </row>
    <row r="43" customFormat="false" ht="15" hidden="false" customHeight="false" outlineLevel="0" collapsed="false">
      <c r="B43" s="22" t="s">
        <v>728</v>
      </c>
      <c r="C43" s="61" t="s">
        <v>729</v>
      </c>
    </row>
    <row r="44" customFormat="false" ht="15" hidden="false" customHeight="false" outlineLevel="0" collapsed="false">
      <c r="B44" s="22" t="s">
        <v>730</v>
      </c>
      <c r="C44" s="61" t="s">
        <v>731</v>
      </c>
    </row>
    <row r="45" customFormat="false" ht="15" hidden="false" customHeight="false" outlineLevel="0" collapsed="false">
      <c r="B45" s="22" t="s">
        <v>732</v>
      </c>
      <c r="C45" s="61" t="s">
        <v>733</v>
      </c>
    </row>
    <row r="46" customFormat="false" ht="15" hidden="false" customHeight="false" outlineLevel="0" collapsed="false">
      <c r="B46" s="22" t="s">
        <v>734</v>
      </c>
      <c r="C46" s="61" t="s">
        <v>735</v>
      </c>
    </row>
    <row r="47" customFormat="false" ht="15" hidden="false" customHeight="false" outlineLevel="0" collapsed="false">
      <c r="B47" s="22" t="s">
        <v>736</v>
      </c>
      <c r="C47" s="61" t="s">
        <v>737</v>
      </c>
    </row>
    <row r="48" customFormat="false" ht="15" hidden="false" customHeight="false" outlineLevel="0" collapsed="false">
      <c r="B48" s="22" t="s">
        <v>738</v>
      </c>
      <c r="C48" s="61" t="s">
        <v>739</v>
      </c>
    </row>
    <row r="49" customFormat="false" ht="15" hidden="false" customHeight="false" outlineLevel="0" collapsed="false">
      <c r="B49" s="22" t="s">
        <v>740</v>
      </c>
      <c r="C49" s="61" t="s">
        <v>741</v>
      </c>
    </row>
    <row r="50" customFormat="false" ht="15" hidden="false" customHeight="false" outlineLevel="0" collapsed="false">
      <c r="B50" s="22" t="s">
        <v>742</v>
      </c>
      <c r="C50" s="61" t="s">
        <v>743</v>
      </c>
    </row>
    <row r="52" customFormat="false" ht="15" hidden="false" customHeight="false" outlineLevel="0" collapsed="false">
      <c r="B52" s="18" t="s">
        <v>960</v>
      </c>
      <c r="C52" s="19"/>
      <c r="D52" s="19"/>
      <c r="E52" s="19"/>
      <c r="F52" s="19"/>
      <c r="G52" s="19"/>
      <c r="H52" s="19"/>
      <c r="I52" s="19"/>
    </row>
    <row r="53" customFormat="false" ht="15" hidden="false" customHeight="false" outlineLevel="0" collapsed="false">
      <c r="B53" s="11" t="s">
        <v>961</v>
      </c>
      <c r="C53" s="21" t="s">
        <v>962</v>
      </c>
      <c r="D53" s="21" t="s">
        <v>963</v>
      </c>
    </row>
    <row r="54" customFormat="false" ht="15" hidden="false" customHeight="false" outlineLevel="0" collapsed="false">
      <c r="B54" s="14" t="s">
        <v>964</v>
      </c>
      <c r="C54" s="14" t="s">
        <v>965</v>
      </c>
      <c r="D54" s="14" t="s">
        <v>966</v>
      </c>
    </row>
    <row r="55" customFormat="false" ht="15" hidden="false" customHeight="false" outlineLevel="0" collapsed="false">
      <c r="B55" s="14" t="s">
        <v>967</v>
      </c>
      <c r="C55" s="14" t="s">
        <v>968</v>
      </c>
      <c r="D55" s="14" t="s">
        <v>969</v>
      </c>
    </row>
    <row r="56" customFormat="false" ht="15" hidden="false" customHeight="false" outlineLevel="0" collapsed="false">
      <c r="B56" s="14" t="s">
        <v>970</v>
      </c>
      <c r="C56" s="14" t="s">
        <v>971</v>
      </c>
      <c r="D56" s="14" t="s">
        <v>972</v>
      </c>
    </row>
    <row r="57" customFormat="false" ht="15" hidden="false" customHeight="false" outlineLevel="0" collapsed="false">
      <c r="B57" s="14" t="s">
        <v>973</v>
      </c>
      <c r="C57" s="14" t="s">
        <v>974</v>
      </c>
      <c r="D57" s="14" t="s">
        <v>975</v>
      </c>
    </row>
    <row r="58" customFormat="false" ht="15" hidden="false" customHeight="false" outlineLevel="0" collapsed="false">
      <c r="B58" s="14" t="s">
        <v>976</v>
      </c>
      <c r="C58" s="14" t="s">
        <v>977</v>
      </c>
      <c r="D58" s="14" t="s">
        <v>978</v>
      </c>
    </row>
    <row r="59" customFormat="false" ht="15" hidden="false" customHeight="false" outlineLevel="0" collapsed="false">
      <c r="B59" s="14" t="s">
        <v>979</v>
      </c>
      <c r="C59" s="14" t="s">
        <v>980</v>
      </c>
      <c r="D59" s="14" t="s">
        <v>981</v>
      </c>
    </row>
    <row r="60" customFormat="false" ht="15" hidden="false" customHeight="false" outlineLevel="0" collapsed="false">
      <c r="B60" s="14" t="s">
        <v>982</v>
      </c>
      <c r="C60" s="14" t="s">
        <v>983</v>
      </c>
      <c r="D60" s="14" t="s">
        <v>984</v>
      </c>
    </row>
    <row r="61" customFormat="false" ht="15" hidden="false" customHeight="false" outlineLevel="0" collapsed="false">
      <c r="B61" s="14" t="s">
        <v>985</v>
      </c>
      <c r="C61" s="14" t="s">
        <v>986</v>
      </c>
      <c r="D61" s="14" t="s">
        <v>987</v>
      </c>
    </row>
    <row r="62" customFormat="false" ht="15" hidden="false" customHeight="false" outlineLevel="0" collapsed="false">
      <c r="B62" s="14" t="s">
        <v>988</v>
      </c>
      <c r="C62" s="14" t="s">
        <v>989</v>
      </c>
      <c r="D62" s="14" t="s">
        <v>990</v>
      </c>
    </row>
    <row r="63" customFormat="false" ht="15" hidden="false" customHeight="false" outlineLevel="0" collapsed="false">
      <c r="B63" s="14" t="s">
        <v>991</v>
      </c>
      <c r="C63" s="14" t="s">
        <v>738</v>
      </c>
      <c r="D63" s="14" t="s">
        <v>992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2026-10-25T09:17:08Z</dcterms:created>
  <dc:creator>openpyxl</dc:creator>
  <dc:description/>
  <dc:language>en-US</dc:language>
  <cp:lastModifiedBy/>
  <dcterms:modified xsi:type="dcterms:W3CDTF">2026-10-25T09:17:08Z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